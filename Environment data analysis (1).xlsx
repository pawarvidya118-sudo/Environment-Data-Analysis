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pivotTables/pivotTable2.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pivotTables/pivotTable3.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5.xml" ContentType="application/vnd.openxmlformats-officedocument.drawing+xml"/>
  <Override PartName="/xl/charts/chart15.xml" ContentType="application/vnd.openxmlformats-officedocument.drawingml.chart+xml"/>
  <Override PartName="/xl/tables/table1.xml" ContentType="application/vnd.openxmlformats-officedocument.spreadsheetml.table+xml"/>
  <Override PartName="/xl/drawings/drawing16.xml" ContentType="application/vnd.openxmlformats-officedocument.drawing+xml"/>
  <Override PartName="/xl/slicers/slicer1.xml" ContentType="application/vnd.ms-excel.slicer+xml"/>
  <Override PartName="/xl/charts/chart16.xml" ContentType="application/vnd.openxmlformats-officedocument.drawingml.chart+xml"/>
  <Override PartName="/xl/charts/style9.xml" ContentType="application/vnd.ms-office.chartstyle+xml"/>
  <Override PartName="/xl/charts/colors9.xml" ContentType="application/vnd.ms-office.chartcolorstyle+xml"/>
  <Override PartName="/xl/charts/chart17.xml" ContentType="application/vnd.openxmlformats-officedocument.drawingml.chart+xml"/>
  <Override PartName="/xl/charts/style10.xml" ContentType="application/vnd.ms-office.chartstyle+xml"/>
  <Override PartName="/xl/charts/colors10.xml" ContentType="application/vnd.ms-office.chartcolorstyle+xml"/>
  <Override PartName="/xl/charts/chart18.xml" ContentType="application/vnd.openxmlformats-officedocument.drawingml.chart+xml"/>
  <Override PartName="/xl/charts/style11.xml" ContentType="application/vnd.ms-office.chartstyle+xml"/>
  <Override PartName="/xl/charts/colors11.xml" ContentType="application/vnd.ms-office.chartcolorstyle+xml"/>
  <Override PartName="/xl/charts/chart19.xml" ContentType="application/vnd.openxmlformats-officedocument.drawingml.chart+xml"/>
  <Override PartName="/xl/charts/style12.xml" ContentType="application/vnd.ms-office.chartstyle+xml"/>
  <Override PartName="/xl/charts/colors12.xml" ContentType="application/vnd.ms-office.chartcolorstyle+xml"/>
  <Override PartName="/xl/charts/chart20.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8_{66322D78-8A0C-4231-B623-8EC0863FB98E}" xr6:coauthVersionLast="36" xr6:coauthVersionMax="36" xr10:uidLastSave="{00000000-0000-0000-0000-000000000000}"/>
  <bookViews>
    <workbookView xWindow="0" yWindow="0" windowWidth="15360" windowHeight="4395" tabRatio="865" firstSheet="8" activeTab="18" xr2:uid="{00000000-000D-0000-FFFF-FFFF00000000}"/>
  </bookViews>
  <sheets>
    <sheet name="Dashboard" sheetId="1" r:id="rId1"/>
    <sheet name="Air Quality" sheetId="2" r:id="rId2"/>
    <sheet name="WQI G" sheetId="25" r:id="rId3"/>
    <sheet name="Water Quality" sheetId="3" r:id="rId4"/>
    <sheet name="Noise Pollution" sheetId="4" r:id="rId5"/>
    <sheet name="Waste Management" sheetId="5" r:id="rId6"/>
    <sheet name="Sheet11" sheetId="20" r:id="rId7"/>
    <sheet name="Disaster Risk" sheetId="6" r:id="rId8"/>
    <sheet name="🏆 Best City Ranking" sheetId="7" r:id="rId9"/>
    <sheet name="City Comparison" sheetId="8" r:id="rId10"/>
    <sheet name="Sheet3" sheetId="28" r:id="rId11"/>
    <sheet name="Sheet1" sheetId="29" r:id="rId12"/>
    <sheet name="Sheet4" sheetId="30" r:id="rId13"/>
    <sheet name="Sheet5" sheetId="31" r:id="rId14"/>
    <sheet name="Sheet6" sheetId="32" r:id="rId15"/>
    <sheet name="Sheet7" sheetId="33" r:id="rId16"/>
    <sheet name="Sheet12" sheetId="37" r:id="rId17"/>
    <sheet name="Sheet2" sheetId="27" r:id="rId18"/>
    <sheet name="FDashboard" sheetId="12" r:id="rId19"/>
    <sheet name="Key Insights" sheetId="9" r:id="rId20"/>
  </sheets>
  <definedNames>
    <definedName name="Slicer_AQI__2024">#N/A</definedName>
    <definedName name="Slicer_City">#N/A</definedName>
    <definedName name="Slicer_Overall_Risk__1_10">#N/A</definedName>
    <definedName name="Slicer_WQI__0_100">#N/A</definedName>
  </definedNames>
  <calcPr calcId="191029"/>
  <pivotCaches>
    <pivotCache cacheId="0" r:id="rId21"/>
    <pivotCache cacheId="1" r:id="rId22"/>
    <pivotCache cacheId="2" r:id="rId23"/>
    <pivotCache cacheId="3" r:id="rId24"/>
  </pivotCaches>
  <extLs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calcChain.xml><?xml version="1.0" encoding="utf-8"?>
<calcChain xmlns="http://schemas.openxmlformats.org/spreadsheetml/2006/main">
  <c r="J19" i="6" l="1"/>
  <c r="I19" i="6"/>
  <c r="H19" i="6"/>
  <c r="G19" i="6"/>
  <c r="F19" i="6"/>
  <c r="E19" i="6"/>
  <c r="C19" i="6"/>
  <c r="J19" i="5"/>
  <c r="I19" i="5"/>
  <c r="H19" i="5"/>
  <c r="G19" i="5"/>
  <c r="F19" i="5"/>
  <c r="E19" i="5"/>
  <c r="D19" i="5"/>
  <c r="C19" i="5"/>
  <c r="I19" i="4"/>
  <c r="H19" i="4"/>
  <c r="G19" i="4"/>
  <c r="F19" i="4"/>
  <c r="E19" i="4"/>
  <c r="C19" i="4"/>
  <c r="K19" i="3"/>
  <c r="J19" i="3"/>
  <c r="I19" i="3"/>
  <c r="H19" i="3"/>
  <c r="G19" i="3"/>
  <c r="F19" i="3"/>
  <c r="E19" i="3"/>
  <c r="C19" i="3"/>
  <c r="J19" i="2"/>
  <c r="I19" i="2"/>
  <c r="H19" i="2"/>
  <c r="G19" i="2"/>
  <c r="F19" i="2"/>
  <c r="E19" i="2"/>
  <c r="C19" i="2"/>
</calcChain>
</file>

<file path=xl/sharedStrings.xml><?xml version="1.0" encoding="utf-8"?>
<sst xmlns="http://schemas.openxmlformats.org/spreadsheetml/2006/main" count="925" uniqueCount="316">
  <si>
    <t>🇮🇳  INDIA URBAN ENVIRONMENTAL QUALITY ANALYTICS  —  2024</t>
  </si>
  <si>
    <t>Air Quality  |  Water Quality  |  Noise Pollution  |  Waste Management  |  Disaster Risk  |  Best City Ranking</t>
  </si>
  <si>
    <t>Worst Air City</t>
  </si>
  <si>
    <t>Best Water City</t>
  </si>
  <si>
    <t>Quietest City</t>
  </si>
  <si>
    <t>Best Waste Mgmt</t>
  </si>
  <si>
    <t>Lowest Risk</t>
  </si>
  <si>
    <t>Delhi</t>
  </si>
  <si>
    <t>Chandigarh</t>
  </si>
  <si>
    <t>AQI 312</t>
  </si>
  <si>
    <t>WQI 82</t>
  </si>
  <si>
    <t>58 dB</t>
  </si>
  <si>
    <t>84% covered</t>
  </si>
  <si>
    <t>Risk: 2.9</t>
  </si>
  <si>
    <t>▶  City Environmental Scorecard (All 15 Cities)</t>
  </si>
  <si>
    <t>City</t>
  </si>
  <si>
    <t>Region</t>
  </si>
  <si>
    <t>AQI</t>
  </si>
  <si>
    <t>Air Status</t>
  </si>
  <si>
    <t>WQI</t>
  </si>
  <si>
    <t>Water Status</t>
  </si>
  <si>
    <t>Noise (dB)</t>
  </si>
  <si>
    <t>Noise Status</t>
  </si>
  <si>
    <t>Waste %</t>
  </si>
  <si>
    <t>Disaster Risk</t>
  </si>
  <si>
    <t>Overall Rank</t>
  </si>
  <si>
    <t>Mumbai</t>
  </si>
  <si>
    <t>West</t>
  </si>
  <si>
    <t>Moderate</t>
  </si>
  <si>
    <t>Good</t>
  </si>
  <si>
    <t>High</t>
  </si>
  <si>
    <t>#10</t>
  </si>
  <si>
    <t>North</t>
  </si>
  <si>
    <t>Very Poor</t>
  </si>
  <si>
    <t>Poor</t>
  </si>
  <si>
    <t>Very High</t>
  </si>
  <si>
    <t>#15</t>
  </si>
  <si>
    <t>Bengaluru</t>
  </si>
  <si>
    <t>South</t>
  </si>
  <si>
    <t>Satisfactory</t>
  </si>
  <si>
    <t>Acceptable</t>
  </si>
  <si>
    <t>#2</t>
  </si>
  <si>
    <t>Hyderabad</t>
  </si>
  <si>
    <t>#7</t>
  </si>
  <si>
    <t>Chennai</t>
  </si>
  <si>
    <t>Fair</t>
  </si>
  <si>
    <t>#9</t>
  </si>
  <si>
    <t>Kolkata</t>
  </si>
  <si>
    <t>East</t>
  </si>
  <si>
    <t>#13</t>
  </si>
  <si>
    <t>Pune</t>
  </si>
  <si>
    <t>#4</t>
  </si>
  <si>
    <t>Ahmedabad</t>
  </si>
  <si>
    <t>#11</t>
  </si>
  <si>
    <t>Jaipur</t>
  </si>
  <si>
    <t>#12</t>
  </si>
  <si>
    <t>Lucknow</t>
  </si>
  <si>
    <t>#14</t>
  </si>
  <si>
    <t>Surat</t>
  </si>
  <si>
    <t>#8</t>
  </si>
  <si>
    <t>Kochi</t>
  </si>
  <si>
    <t>#5</t>
  </si>
  <si>
    <t>Excellent</t>
  </si>
  <si>
    <t>#1</t>
  </si>
  <si>
    <t>Bhopal</t>
  </si>
  <si>
    <t>Central</t>
  </si>
  <si>
    <t>#6</t>
  </si>
  <si>
    <t>Nagpur</t>
  </si>
  <si>
    <t>#3</t>
  </si>
  <si>
    <t>🌫️  AIR QUALITY ANALYSIS — India's Major Cities 2024</t>
  </si>
  <si>
    <t>AQI Standards: Good(0-50) | Satisfactory(51-100) | Moderate(101-200) | Poor(201-300) | Very Poor(301-400) | Severe(401-500)</t>
  </si>
  <si>
    <t>AQI (2024)</t>
  </si>
  <si>
    <t>Status</t>
  </si>
  <si>
    <t>PM2.5 (µg/m³)</t>
  </si>
  <si>
    <t>PM10 (µg/m³)</t>
  </si>
  <si>
    <t>NO₂ (µg/m³)</t>
  </si>
  <si>
    <t>SO₂ (µg/m³)</t>
  </si>
  <si>
    <t>CO (mg/m³)</t>
  </si>
  <si>
    <t>Air Score (0-10)</t>
  </si>
  <si>
    <t>YoY Change</t>
  </si>
  <si>
    <t>Key Source</t>
  </si>
  <si>
    <t>Vehicles, industry</t>
  </si>
  <si>
    <t>Vehicles, stubble burning</t>
  </si>
  <si>
    <t>Vehicles, construction</t>
  </si>
  <si>
    <t>Vehicles, port</t>
  </si>
  <si>
    <t>Vehicles, industry, Diwali</t>
  </si>
  <si>
    <t>Textile industry, vehicles</t>
  </si>
  <si>
    <t>Tourism, vehicles, dust</t>
  </si>
  <si>
    <t>Vehicles, biomass burning</t>
  </si>
  <si>
    <t>Diamond, textile industry</t>
  </si>
  <si>
    <t>Port, vehicles</t>
  </si>
  <si>
    <t>Well-planned, green cover</t>
  </si>
  <si>
    <t>Vehicles, lake effect</t>
  </si>
  <si>
    <t>Vehicles, orange city</t>
  </si>
  <si>
    <t>AVERAGE</t>
  </si>
  <si>
    <t>💧  WATER QUALITY ANALYSIS — India's Major Cities 2024</t>
  </si>
  <si>
    <t>WQI Standards: Excellent(80-100) | Good(60-79) | Fair(40-59) | Poor(20-39) | Very Poor(&lt;20)</t>
  </si>
  <si>
    <t>WQI (0-100)</t>
  </si>
  <si>
    <t>pH Level</t>
  </si>
  <si>
    <t>Turbidity (NTU)</t>
  </si>
  <si>
    <t>TDS (mg/L)</t>
  </si>
  <si>
    <t>Coliform (MPN/100ml)</t>
  </si>
  <si>
    <t>Fluoride (mg/L)</t>
  </si>
  <si>
    <t>Water Score (0-10)</t>
  </si>
  <si>
    <t>Supply Coverage %</t>
  </si>
  <si>
    <t>Main Source</t>
  </si>
  <si>
    <t>Bhatsa, Tansa reservoirs</t>
  </si>
  <si>
    <t>Yamuna river (treated)</t>
  </si>
  <si>
    <t>Cauvery river</t>
  </si>
  <si>
    <t>Krishna, Godavari</t>
  </si>
  <si>
    <t>Poondi, Chembarambakkam</t>
  </si>
  <si>
    <t>Hooghly river</t>
  </si>
  <si>
    <t>Khadakwasla dam</t>
  </si>
  <si>
    <t>Narmada canal</t>
  </si>
  <si>
    <t>Bisalpur dam</t>
  </si>
  <si>
    <t>Sarda canal, groundwater</t>
  </si>
  <si>
    <t>Ukai dam, Tapi river</t>
  </si>
  <si>
    <t>Periyar river</t>
  </si>
  <si>
    <t>Ghaggar, Bhakra canal</t>
  </si>
  <si>
    <t>Upper Lake, Kolar dam</t>
  </si>
  <si>
    <t>Pench, Kanhan river</t>
  </si>
  <si>
    <t>🔊  NOISE POLLUTION ANALYSIS — India's Major Cities 2024</t>
  </si>
  <si>
    <t>CPCB Standards: Residential≤55dB | Commercial≤65dB | Industrial≤75dB | Silence Zone≤50dB</t>
  </si>
  <si>
    <t>Avg Noise (dB)</t>
  </si>
  <si>
    <t>Day Avg (dB)</t>
  </si>
  <si>
    <t>Night Avg (dB)</t>
  </si>
  <si>
    <t>Traffic Noise (dB)</t>
  </si>
  <si>
    <t>Industrial Noise (dB)</t>
  </si>
  <si>
    <t>Noise Score (0-10)</t>
  </si>
  <si>
    <t>Main Sources</t>
  </si>
  <si>
    <t>Traffic, construction, marine</t>
  </si>
  <si>
    <t>Traffic, metro, industrial</t>
  </si>
  <si>
    <t>IT parks, traffic, construction</t>
  </si>
  <si>
    <t>Traffic, construction, industry</t>
  </si>
  <si>
    <t>Traffic, port, industry</t>
  </si>
  <si>
    <t>Traffic, trams, industry</t>
  </si>
  <si>
    <t>Traffic, IT parks</t>
  </si>
  <si>
    <t>Traffic, textile mills</t>
  </si>
  <si>
    <t>Traffic, tourism, weddings</t>
  </si>
  <si>
    <t>Traffic, construction</t>
  </si>
  <si>
    <t>Diamond industry, traffic</t>
  </si>
  <si>
    <t>Port, traffic, backwaters</t>
  </si>
  <si>
    <t>Well-planned, low density</t>
  </si>
  <si>
    <t>Traffic, light industry</t>
  </si>
  <si>
    <t>Traffic, orange trade</t>
  </si>
  <si>
    <t>♻️  WASTE MANAGEMENT ANALYSIS — India's Major Cities 2024</t>
  </si>
  <si>
    <t>Collection Coverage %</t>
  </si>
  <si>
    <t>Waste Generated (TPD)</t>
  </si>
  <si>
    <t>Waste Processed (TPD)</t>
  </si>
  <si>
    <t>Processing Rate %</t>
  </si>
  <si>
    <t>Recycling Rate %</t>
  </si>
  <si>
    <t>Landfill Use %</t>
  </si>
  <si>
    <t>Compost Share %</t>
  </si>
  <si>
    <t>Waste Score (0-10)</t>
  </si>
  <si>
    <t>Rating</t>
  </si>
  <si>
    <t>AVERAGE / TOTAL</t>
  </si>
  <si>
    <t>⚠️  DISASTER RISK ANALYSIS — India's Major Cities 2024</t>
  </si>
  <si>
    <t>Risk Scale: Low(1-3) | Moderate(4-5) | High(6-7) | Very High(8-10)  |  Source: NDMA, IMD 2024</t>
  </si>
  <si>
    <t>Overall Risk (1-10)</t>
  </si>
  <si>
    <t>Risk Level</t>
  </si>
  <si>
    <t>Flood Risk</t>
  </si>
  <si>
    <t>Earthquake Risk</t>
  </si>
  <si>
    <t>Cyclone Risk</t>
  </si>
  <si>
    <t>Heat Wave Risk</t>
  </si>
  <si>
    <t>Preparedness Score</t>
  </si>
  <si>
    <t>Risk Score (0-10)</t>
  </si>
  <si>
    <t>Primary Hazard</t>
  </si>
  <si>
    <t>Flooding, cyclones</t>
  </si>
  <si>
    <t>Heat waves, earthquakes</t>
  </si>
  <si>
    <t>Urban flooding</t>
  </si>
  <si>
    <t>Flooding, heat</t>
  </si>
  <si>
    <t>Cyclones, flooding</t>
  </si>
  <si>
    <t>Landslides (hills)</t>
  </si>
  <si>
    <t>Earthquakes, heat</t>
  </si>
  <si>
    <t>Heat waves, drought</t>
  </si>
  <si>
    <t>Low</t>
  </si>
  <si>
    <t>Moderate earthquake risk</t>
  </si>
  <si>
    <t>Industrial risk (Bhopal legacy)</t>
  </si>
  <si>
    <t>🏆  INDIA'S BEST CITY — OVERALL ENVIRONMENTAL QUALITY RANKING  🏆</t>
  </si>
  <si>
    <t>🥇  CHANDIGARH  —  India's Cleanest &amp; Safest City 2024  |  Overall Score: 8.44 / 10</t>
  </si>
  <si>
    <t>Scoring Weights: Air Quality 25%  |  Water Quality 20%  |  Waste Management 20%  |  Disaster Risk 20%  |  Noise Pollution 15%</t>
  </si>
  <si>
    <t>Rank</t>
  </si>
  <si>
    <t>Air Score
(25%)</t>
  </si>
  <si>
    <t>Water Score
(20%)</t>
  </si>
  <si>
    <t>Noise Score
(15%)</t>
  </si>
  <si>
    <t>Waste Score
(20%)</t>
  </si>
  <si>
    <t>Risk Score
(20%)</t>
  </si>
  <si>
    <t>Overall Score
(/10)</t>
  </si>
  <si>
    <t>Grade</t>
  </si>
  <si>
    <t>Strengths</t>
  </si>
  <si>
    <t>Key Challenge</t>
  </si>
  <si>
    <t>🥇</t>
  </si>
  <si>
    <t>A</t>
  </si>
  <si>
    <t>Best planned city, lowest pollution across all metrics</t>
  </si>
  <si>
    <t>Managing peri-urban expansion pressure</t>
  </si>
  <si>
    <t>🥈</t>
  </si>
  <si>
    <t>B+</t>
  </si>
  <si>
    <t>Strong IT-driven environment initiatives</t>
  </si>
  <si>
    <t>Rapid urbanization straining water supply</t>
  </si>
  <si>
    <t>🥉</t>
  </si>
  <si>
    <t>Good green cover, improving waste management</t>
  </si>
  <si>
    <t>Industrial corridor heat island effect</t>
  </si>
  <si>
    <t>4</t>
  </si>
  <si>
    <t>Good waste management, improving AQI</t>
  </si>
  <si>
    <t>Traffic-driven AQI worsening</t>
  </si>
  <si>
    <t>5</t>
  </si>
  <si>
    <t>B</t>
  </si>
  <si>
    <t>Excellent water quality, coastal green zones</t>
  </si>
  <si>
    <t>Flooding from backwater encroachment</t>
  </si>
  <si>
    <t>6</t>
  </si>
  <si>
    <t>Lakes improve local air, proactive green plans</t>
  </si>
  <si>
    <t>Legacy industrial contamination risk</t>
  </si>
  <si>
    <t>7</t>
  </si>
  <si>
    <t>Smart city tech, improving water systems</t>
  </si>
  <si>
    <t>Rapid growth outpacing infrastructure</t>
  </si>
  <si>
    <t>8</t>
  </si>
  <si>
    <t>Best waste management turnaround (2022 reforms)</t>
  </si>
  <si>
    <t>Diamond/textile industrial emissions</t>
  </si>
  <si>
    <t>9</t>
  </si>
  <si>
    <t>Improved water sourcing, coastal regulation</t>
  </si>
  <si>
    <t>Cyclone and flood vulnerability</t>
  </si>
  <si>
    <t>10</t>
  </si>
  <si>
    <t>C</t>
  </si>
  <si>
    <t>Large green lungs (Sanjay Gandhi NP)</t>
  </si>
  <si>
    <t>Flooding from sea-level rise risk</t>
  </si>
  <si>
    <t>11</t>
  </si>
  <si>
    <t>Smart city infrastructure investment</t>
  </si>
  <si>
    <t>Extreme heat waves (&gt;48°C summers)</t>
  </si>
  <si>
    <t>12</t>
  </si>
  <si>
    <t>Heritage zone protection, tourism regulation</t>
  </si>
  <si>
    <t>Desert dust contributing to high AQI</t>
  </si>
  <si>
    <t>13</t>
  </si>
  <si>
    <t>River-city biodiversity efforts</t>
  </si>
  <si>
    <t>Ageing sewage, industrial river pollution</t>
  </si>
  <si>
    <t>14</t>
  </si>
  <si>
    <t>Gomti river revival project</t>
  </si>
  <si>
    <t>Severe AQI, groundwater depletion</t>
  </si>
  <si>
    <t>15</t>
  </si>
  <si>
    <t>GRAP implementation, EV push, odd-even policy</t>
  </si>
  <si>
    <t>Critical AQI — worst in world during winter</t>
  </si>
  <si>
    <t>🌟  WHY CHANDIGARH IS THE BEST CITY</t>
  </si>
  <si>
    <t>✅ Air Quality</t>
  </si>
  <si>
    <t>AQI of just 68 — Satisfactory level. One of the only major Indian cities meeting national standards consistently.</t>
  </si>
  <si>
    <t>✅ Water Quality</t>
  </si>
  <si>
    <t>WQI of 82 — Excellent. Near-perfect supply coverage (98%) with clean Bhakra canal sourcing and modern treatment.</t>
  </si>
  <si>
    <t>✅ Noise Levels</t>
  </si>
  <si>
    <t>Average 58 dB — lowest among all 15 cities. Planned road grid prevents chaotic traffic noise buildup.</t>
  </si>
  <si>
    <t>✅ Waste Management</t>
  </si>
  <si>
    <t>84% collection coverage — highest in India. Chandigarh was among first cities to achieve door-to-door collection.</t>
  </si>
  <si>
    <t>✅ Disaster Risk</t>
  </si>
  <si>
    <t>Risk score 2.9 — Low risk. Inland location away from cyclone tracks, low seismicity, excellent drainage.</t>
  </si>
  <si>
    <t>✅ City Planning</t>
  </si>
  <si>
    <t>Le Corbusier's planned grid layout directly contributes to lower pollution, organized waste routes &amp; green corridors.</t>
  </si>
  <si>
    <t>📊  SIDE-BY-SIDE CITY COMPARISON — All Metrics</t>
  </si>
  <si>
    <t>Metric</t>
  </si>
  <si>
    <t>AQI (lower=better)</t>
  </si>
  <si>
    <t>Water Quality Index</t>
  </si>
  <si>
    <t>Noise Level (dB)</t>
  </si>
  <si>
    <t>Waste Coverage %</t>
  </si>
  <si>
    <t>Disaster Risk (1-10)</t>
  </si>
  <si>
    <t>OVERALL SCORE (/10)</t>
  </si>
  <si>
    <t>💡  KEY INSIGHTS &amp; RECOMMENDATIONS — India Urban Environment 2024</t>
  </si>
  <si>
    <t>Category</t>
  </si>
  <si>
    <t>Background</t>
  </si>
  <si>
    <t>Insight Detail</t>
  </si>
  <si>
    <t>🏙️ Planning = Clean City</t>
  </si>
  <si>
    <t>Chandigarh's Le Corbusier-designed grid is proof that planned urbanization directly reduces pollution. It scores best in all 5 categories — showing city design is the single biggest environmental lever.</t>
  </si>
  <si>
    <t>🌫️ North India Air Crisis</t>
  </si>
  <si>
    <t>Delhi (AQI 312), Lucknow (248), and Kolkata (201) form a dangerous 'pollution belt'. Stubble burning, vehicular density, and thermal inversions create near-uninhabitable air quality in winter months.</t>
  </si>
  <si>
    <t>💧 South India Water Advantage</t>
  </si>
  <si>
    <t>South Indian cities (Kochi WQI 78, Bengaluru 71, Hyderabad 66) benefit from proximity to rivers and reservoirs. Kochi's Periyar sourcing gives it the 2nd highest WQI after Chandigarh.</t>
  </si>
  <si>
    <t>♻️ Surat's Waste Turnaround</t>
  </si>
  <si>
    <t>Surat transformed from India's 'plague city' in 1994 to a waste management model — 76% coverage. It demonstrates that political will can rapidly improve urban sanitation even in dense, industrial cities.</t>
  </si>
  <si>
    <t>🔊 Noise — The Silent Killer</t>
  </si>
  <si>
    <t>Delhi (85 dB) and Lucknow (80 dB) exceed WHO's 53 dB limit by dangerous margins. Long-term exposure causes cardiovascular disease, sleep disorders, and hearing loss — a largely ignored public health crisis.</t>
  </si>
  <si>
    <t>⚠️ Coastal = High Risk</t>
  </si>
  <si>
    <t>Mumbai (7.2), Chennai (6.8), Kochi (7.8), and Kolkata (6.5) all face elevated disaster risk from cyclones and flooding. Climate change is intensifying this — sea-level rise threatens all four cities by 2040.</t>
  </si>
  <si>
    <t>📈 Waste Management Gap</t>
  </si>
  <si>
    <t>Delhi generates 10,500 tonnes/day but processes only 42% — the largest absolute waste gap in India. Landfills like Ghazipur are reaching dangerous heights. Urgent processing infrastructure investment is needed.</t>
  </si>
  <si>
    <t>🌿 Green Tier Cities Lead</t>
  </si>
  <si>
    <t>Tier-2 cities (Chandigarh, Nagpur, Bhopal) consistently outperform metro giants on environmental metrics. Smaller population + proactive governance creates a significant quality-of-life advantage.</t>
  </si>
  <si>
    <t>📋  POLICY RECOMMENDATIONS</t>
  </si>
  <si>
    <t>1. Replicate Chandigarh Model</t>
  </si>
  <si>
    <t>Mandate planned zoning, green corridors &amp; dedicated waste zones in all new urban expansions under Smart Cities Mission.</t>
  </si>
  <si>
    <t>2. Emergency Air Action — North India</t>
  </si>
  <si>
    <t>Enforce year-round stubble ban with financial alternatives for farmers; expand GRAP to Lucknow, Kanpur, Varanasi.</t>
  </si>
  <si>
    <t>3. Coastal Climate Resilience</t>
  </si>
  <si>
    <t>Build sea walls and flood-resistant infrastructure in Mumbai, Chennai, Kochi; update disaster management plans annually.</t>
  </si>
  <si>
    <t>4. Water Recycling Mandate</t>
  </si>
  <si>
    <t>All cities above 1M population must achieve 30% treated wastewater reuse by 2027 under Smart Cities water policy.</t>
  </si>
  <si>
    <t>5. Noise Regulation Enforcement</t>
  </si>
  <si>
    <t>Deploy IoT noise monitoring across all metro cities; enforce 55 dB night limits with automated penalties near hospitals.</t>
  </si>
  <si>
    <t>Row Labels</t>
  </si>
  <si>
    <t>Grand Total</t>
  </si>
  <si>
    <t>Sum of AQI (2024)</t>
  </si>
  <si>
    <t>Sum of Overall Risk (1-10)</t>
  </si>
  <si>
    <t>Sum of WQI (0-100)</t>
  </si>
  <si>
    <t>Dashboard</t>
  </si>
  <si>
    <t>Sum of Waste Score (0-10)</t>
  </si>
  <si>
    <t>Sum of Avg Noise (dB)</t>
  </si>
  <si>
    <t>Overall Disaster Risk (1-10)</t>
  </si>
  <si>
    <t>Mumbai, India</t>
  </si>
  <si>
    <t>Delhi, India</t>
  </si>
  <si>
    <t>Bengaluru, India</t>
  </si>
  <si>
    <t>Hyderabad, India</t>
  </si>
  <si>
    <t>Chennai, India</t>
  </si>
  <si>
    <t>Kolkata, India</t>
  </si>
  <si>
    <t>Pune, India</t>
  </si>
  <si>
    <t>Ahmedabad, India</t>
  </si>
  <si>
    <t>Jaipur, India</t>
  </si>
  <si>
    <t>Lucknow, India</t>
  </si>
  <si>
    <t>Surat, India</t>
  </si>
  <si>
    <t>Kochi, India</t>
  </si>
  <si>
    <t>Chandigarh, India</t>
  </si>
  <si>
    <t>Bhopal, India</t>
  </si>
  <si>
    <t>Nagpur,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</si>
</sst>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
  </numFmts>
  <fonts count="31" x14ac:knownFonts="1">
    <font>
      <sz val="11"/>
      <color theme="1"/>
      <name val="Calibri"/>
      <family val="2"/>
      <charset val="1"/>
    </font>
    <font>
      <b/>
      <sz val="22"/>
      <color rgb="FFFFFFFF"/>
      <name val="Arial"/>
      <charset val="1"/>
    </font>
    <font>
      <i/>
      <sz val="10"/>
      <color rgb="FFFFFFFF"/>
      <name val="Arial"/>
      <charset val="1"/>
    </font>
    <font>
      <b/>
      <sz val="9"/>
      <color rgb="FFFFFFFF"/>
      <name val="Arial"/>
      <charset val="1"/>
    </font>
    <font>
      <b/>
      <sz val="18"/>
      <color rgb="FFFFFFFF"/>
      <name val="Arial"/>
      <charset val="1"/>
    </font>
    <font>
      <i/>
      <sz val="9"/>
      <color rgb="FFFFFFFF"/>
      <name val="Arial"/>
      <charset val="1"/>
    </font>
    <font>
      <b/>
      <sz val="11"/>
      <color rgb="FFFFFFFF"/>
      <name val="Arial"/>
      <charset val="1"/>
    </font>
    <font>
      <b/>
      <sz val="11"/>
      <color rgb="FF000000"/>
      <name val="Arial"/>
      <charset val="1"/>
    </font>
    <font>
      <sz val="11"/>
      <color rgb="FF000000"/>
      <name val="Arial"/>
      <charset val="1"/>
    </font>
    <font>
      <b/>
      <sz val="9"/>
      <color rgb="FF000000"/>
      <name val="Arial"/>
      <charset val="1"/>
    </font>
    <font>
      <b/>
      <sz val="11"/>
      <color rgb="FFB71C1C"/>
      <name val="Arial"/>
      <charset val="1"/>
    </font>
    <font>
      <b/>
      <sz val="11"/>
      <color rgb="FF138808"/>
      <name val="Arial"/>
      <charset val="1"/>
    </font>
    <font>
      <b/>
      <sz val="11"/>
      <color rgb="FFF9A825"/>
      <name val="Arial"/>
      <charset val="1"/>
    </font>
    <font>
      <b/>
      <sz val="13"/>
      <color rgb="FFFFFFFF"/>
      <name val="Arial"/>
      <charset val="1"/>
    </font>
    <font>
      <b/>
      <sz val="8"/>
      <color rgb="FFFFFFFF"/>
      <name val="Arial"/>
      <charset val="1"/>
    </font>
    <font>
      <b/>
      <sz val="10"/>
      <color rgb="FFFFFFFF"/>
      <name val="Arial"/>
      <charset val="1"/>
    </font>
    <font>
      <b/>
      <sz val="11"/>
      <color rgb="FF2E7D52"/>
      <name val="Arial"/>
      <charset val="1"/>
    </font>
    <font>
      <b/>
      <sz val="14"/>
      <color rgb="FFFFFFFF"/>
      <name val="Arial"/>
      <charset val="1"/>
    </font>
    <font>
      <b/>
      <sz val="12"/>
      <color rgb="FF000000"/>
      <name val="Arial"/>
      <charset val="1"/>
    </font>
    <font>
      <b/>
      <sz val="12"/>
      <color rgb="FFFFFFFF"/>
      <name val="Arial"/>
      <charset val="1"/>
    </font>
    <font>
      <b/>
      <sz val="11"/>
      <color rgb="FF1A3A2C"/>
      <name val="Arial"/>
      <charset val="1"/>
    </font>
    <font>
      <sz val="10"/>
      <color rgb="FF000000"/>
      <name val="Arial"/>
      <charset val="1"/>
    </font>
    <font>
      <sz val="9"/>
      <color rgb="FF000000"/>
      <name val="Arial"/>
      <charset val="1"/>
    </font>
    <font>
      <b/>
      <sz val="10"/>
      <color rgb="FF1A3A2C"/>
      <name val="Arial"/>
      <charset val="1"/>
    </font>
    <font>
      <b/>
      <sz val="10"/>
      <color rgb="FFB71C1C"/>
      <name val="Arial"/>
      <charset val="1"/>
    </font>
    <font>
      <b/>
      <sz val="10"/>
      <color rgb="FF1565C0"/>
      <name val="Arial"/>
      <charset val="1"/>
    </font>
    <font>
      <b/>
      <sz val="10"/>
      <color rgb="FF2E7D52"/>
      <name val="Arial"/>
      <charset val="1"/>
    </font>
    <font>
      <b/>
      <sz val="10"/>
      <color rgb="FFBF360C"/>
      <name val="Arial"/>
      <charset val="1"/>
    </font>
    <font>
      <b/>
      <sz val="10"/>
      <color rgb="FFF9A825"/>
      <name val="Arial"/>
      <charset val="1"/>
    </font>
    <font>
      <sz val="22"/>
      <color theme="0"/>
      <name val="Calibri"/>
      <family val="2"/>
    </font>
    <font>
      <b/>
      <sz val="10"/>
      <color rgb="FFFFFFFF"/>
      <name val="Arial"/>
      <family val="2"/>
      <charset val="1"/>
    </font>
  </fonts>
  <fills count="31">
    <fill>
      <patternFill patternType="none"/>
    </fill>
    <fill>
      <patternFill patternType="gray125"/>
    </fill>
    <fill>
      <patternFill patternType="solid">
        <fgColor rgb="FF138808"/>
        <bgColor rgb="FF2E7D52"/>
      </patternFill>
    </fill>
    <fill>
      <patternFill patternType="solid">
        <fgColor rgb="FFFF9933"/>
        <bgColor rgb="FFF9A825"/>
      </patternFill>
    </fill>
    <fill>
      <patternFill patternType="solid">
        <fgColor rgb="FFB71C1C"/>
        <bgColor rgb="FFBF360C"/>
      </patternFill>
    </fill>
    <fill>
      <patternFill patternType="solid">
        <fgColor rgb="FF00695C"/>
        <bgColor rgb="FF008080"/>
      </patternFill>
    </fill>
    <fill>
      <patternFill patternType="solid">
        <fgColor rgb="FF2E7D52"/>
        <bgColor rgb="FF546E7A"/>
      </patternFill>
    </fill>
    <fill>
      <patternFill patternType="solid">
        <fgColor rgb="FF1565C0"/>
        <bgColor rgb="FF008080"/>
      </patternFill>
    </fill>
    <fill>
      <patternFill patternType="solid">
        <fgColor rgb="FF4A148C"/>
        <bgColor rgb="FF333399"/>
      </patternFill>
    </fill>
    <fill>
      <patternFill patternType="solid">
        <fgColor rgb="FF1A3A2C"/>
        <bgColor rgb="FF333300"/>
      </patternFill>
    </fill>
    <fill>
      <patternFill patternType="solid">
        <fgColor rgb="FFE8F5E9"/>
        <bgColor rgb="FFE3F2FD"/>
      </patternFill>
    </fill>
    <fill>
      <patternFill patternType="solid">
        <fgColor rgb="FFFFEB84"/>
        <bgColor rgb="FFFFE0B2"/>
      </patternFill>
    </fill>
    <fill>
      <patternFill patternType="solid">
        <fgColor rgb="FFA9D18E"/>
        <bgColor rgb="FFC0C0C0"/>
      </patternFill>
    </fill>
    <fill>
      <patternFill patternType="solid">
        <fgColor rgb="FFFFCDD2"/>
        <bgColor rgb="FFFFE0B2"/>
      </patternFill>
    </fill>
    <fill>
      <patternFill patternType="solid">
        <fgColor rgb="FFFFFFFF"/>
        <bgColor rgb="FFF9F9F9"/>
      </patternFill>
    </fill>
    <fill>
      <patternFill patternType="solid">
        <fgColor rgb="FFF8696B"/>
        <bgColor rgb="FFCD7F32"/>
      </patternFill>
    </fill>
    <fill>
      <patternFill patternType="solid">
        <fgColor rgb="FFF4B942"/>
        <bgColor rgb="FFF9A825"/>
      </patternFill>
    </fill>
    <fill>
      <patternFill patternType="solid">
        <fgColor rgb="FFC8E6C9"/>
        <bgColor rgb="FFD9D9D9"/>
      </patternFill>
    </fill>
    <fill>
      <patternFill patternType="solid">
        <fgColor rgb="FFFFF9C4"/>
        <bgColor rgb="FFF9F9F9"/>
      </patternFill>
    </fill>
    <fill>
      <patternFill patternType="solid">
        <fgColor rgb="FF63BE7B"/>
        <bgColor rgb="FFA9D18E"/>
      </patternFill>
    </fill>
    <fill>
      <patternFill patternType="solid">
        <fgColor rgb="FF546E7A"/>
        <bgColor rgb="FF4F81BD"/>
      </patternFill>
    </fill>
    <fill>
      <patternFill patternType="solid">
        <fgColor rgb="FFE3F2FD"/>
        <bgColor rgb="FFE8F5E9"/>
      </patternFill>
    </fill>
    <fill>
      <patternFill patternType="solid">
        <fgColor rgb="FFBF360C"/>
        <bgColor rgb="FFB71C1C"/>
      </patternFill>
    </fill>
    <fill>
      <patternFill patternType="solid">
        <fgColor rgb="FFFFE0B2"/>
        <bgColor rgb="FFFFEB84"/>
      </patternFill>
    </fill>
    <fill>
      <patternFill patternType="solid">
        <fgColor rgb="FFFFD700"/>
        <bgColor rgb="FFFFFF00"/>
      </patternFill>
    </fill>
    <fill>
      <patternFill patternType="solid">
        <fgColor rgb="FFC0C0C0"/>
        <bgColor rgb="FFA9D18E"/>
      </patternFill>
    </fill>
    <fill>
      <patternFill patternType="solid">
        <fgColor rgb="FFCD7F32"/>
        <bgColor rgb="FFFF9933"/>
      </patternFill>
    </fill>
    <fill>
      <patternFill patternType="solid">
        <fgColor rgb="FF000080"/>
        <bgColor rgb="FF000080"/>
      </patternFill>
    </fill>
    <fill>
      <patternFill patternType="solid">
        <fgColor rgb="FFBBDEFB"/>
        <bgColor rgb="FFC8E6C9"/>
      </patternFill>
    </fill>
    <fill>
      <patternFill patternType="solid">
        <fgColor theme="8" tint="-0.249977111117893"/>
        <bgColor indexed="64"/>
      </patternFill>
    </fill>
    <fill>
      <patternFill patternType="solid">
        <fgColor theme="8"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85">
    <xf numFmtId="0" fontId="0" fillId="0" borderId="0" xfId="0"/>
    <xf numFmtId="0" fontId="3" fillId="6"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8" fillId="10" borderId="1" xfId="0" applyFont="1" applyFill="1" applyBorder="1" applyAlignment="1">
      <alignment horizontal="left" vertical="center"/>
    </xf>
    <xf numFmtId="0" fontId="8" fillId="10" borderId="1" xfId="0" applyFont="1" applyFill="1" applyBorder="1" applyAlignment="1">
      <alignment horizontal="center" vertical="center"/>
    </xf>
    <xf numFmtId="0" fontId="9" fillId="11" borderId="1" xfId="0" applyFont="1" applyFill="1" applyBorder="1" applyAlignment="1">
      <alignment horizontal="center" vertical="center"/>
    </xf>
    <xf numFmtId="0" fontId="9" fillId="12" borderId="1" xfId="0" applyFont="1" applyFill="1" applyBorder="1" applyAlignment="1">
      <alignment horizontal="center" vertical="center"/>
    </xf>
    <xf numFmtId="9" fontId="8" fillId="10" borderId="1" xfId="0" applyNumberFormat="1" applyFont="1" applyFill="1" applyBorder="1" applyAlignment="1">
      <alignment horizontal="center" vertical="center"/>
    </xf>
    <xf numFmtId="164" fontId="8" fillId="10" borderId="1" xfId="0" applyNumberFormat="1" applyFont="1" applyFill="1" applyBorder="1" applyAlignment="1">
      <alignment horizontal="center" vertical="center"/>
    </xf>
    <xf numFmtId="0" fontId="10" fillId="13" borderId="1" xfId="0" applyFont="1" applyFill="1" applyBorder="1" applyAlignment="1">
      <alignment horizontal="center" vertical="center"/>
    </xf>
    <xf numFmtId="0" fontId="7" fillId="14" borderId="1" xfId="0" applyFont="1" applyFill="1" applyBorder="1" applyAlignment="1">
      <alignment horizontal="left" vertical="center"/>
    </xf>
    <xf numFmtId="0" fontId="8" fillId="14" borderId="1" xfId="0" applyFont="1" applyFill="1" applyBorder="1" applyAlignment="1">
      <alignment horizontal="left" vertical="center"/>
    </xf>
    <xf numFmtId="0" fontId="8" fillId="14" borderId="1" xfId="0" applyFont="1" applyFill="1" applyBorder="1" applyAlignment="1">
      <alignment horizontal="center" vertical="center"/>
    </xf>
    <xf numFmtId="0" fontId="9" fillId="15" borderId="1" xfId="0" applyFont="1" applyFill="1" applyBorder="1" applyAlignment="1">
      <alignment horizontal="center" vertical="center"/>
    </xf>
    <xf numFmtId="0" fontId="9" fillId="16" borderId="1" xfId="0" applyFont="1" applyFill="1" applyBorder="1" applyAlignment="1">
      <alignment horizontal="center" vertical="center"/>
    </xf>
    <xf numFmtId="9" fontId="8" fillId="14" borderId="1" xfId="0" applyNumberFormat="1" applyFont="1" applyFill="1" applyBorder="1" applyAlignment="1">
      <alignment horizontal="center" vertical="center"/>
    </xf>
    <xf numFmtId="164" fontId="8" fillId="14" borderId="1" xfId="0" applyNumberFormat="1" applyFont="1" applyFill="1" applyBorder="1" applyAlignment="1">
      <alignment horizontal="center" vertical="center"/>
    </xf>
    <xf numFmtId="0" fontId="11" fillId="17" borderId="1" xfId="0" applyFont="1" applyFill="1" applyBorder="1" applyAlignment="1">
      <alignment horizontal="center" vertical="center"/>
    </xf>
    <xf numFmtId="0" fontId="12" fillId="18" borderId="1" xfId="0" applyFont="1" applyFill="1" applyBorder="1" applyAlignment="1">
      <alignment horizontal="center" vertical="center"/>
    </xf>
    <xf numFmtId="0" fontId="9" fillId="19" borderId="1" xfId="0" applyFont="1" applyFill="1" applyBorder="1" applyAlignment="1">
      <alignment horizontal="center" vertical="center"/>
    </xf>
    <xf numFmtId="0" fontId="15" fillId="20" borderId="1" xfId="0" applyFont="1" applyFill="1" applyBorder="1" applyAlignment="1">
      <alignment horizontal="center" vertical="center" wrapText="1"/>
    </xf>
    <xf numFmtId="0" fontId="7" fillId="10" borderId="1" xfId="0" applyFont="1" applyFill="1" applyBorder="1" applyAlignment="1">
      <alignment horizontal="center" vertical="center"/>
    </xf>
    <xf numFmtId="164" fontId="7" fillId="10" borderId="1" xfId="0" applyNumberFormat="1" applyFont="1" applyFill="1" applyBorder="1" applyAlignment="1">
      <alignment horizontal="center" vertical="center"/>
    </xf>
    <xf numFmtId="165" fontId="16" fillId="10" borderId="1" xfId="0" applyNumberFormat="1" applyFont="1" applyFill="1" applyBorder="1" applyAlignment="1">
      <alignment horizontal="center" vertical="center"/>
    </xf>
    <xf numFmtId="0" fontId="7" fillId="14" borderId="1" xfId="0" applyFont="1" applyFill="1" applyBorder="1" applyAlignment="1">
      <alignment horizontal="center" vertical="center"/>
    </xf>
    <xf numFmtId="164" fontId="7" fillId="14" borderId="1" xfId="0" applyNumberFormat="1" applyFont="1" applyFill="1" applyBorder="1" applyAlignment="1">
      <alignment horizontal="center" vertical="center"/>
    </xf>
    <xf numFmtId="165" fontId="10" fillId="14" borderId="1" xfId="0" applyNumberFormat="1" applyFont="1" applyFill="1" applyBorder="1" applyAlignment="1">
      <alignment horizontal="center" vertical="center"/>
    </xf>
    <xf numFmtId="165" fontId="16" fillId="14" borderId="1" xfId="0" applyNumberFormat="1" applyFont="1" applyFill="1" applyBorder="1" applyAlignment="1">
      <alignment horizontal="center" vertical="center"/>
    </xf>
    <xf numFmtId="165" fontId="10" fillId="10" borderId="1" xfId="0" applyNumberFormat="1" applyFont="1" applyFill="1" applyBorder="1" applyAlignment="1">
      <alignment horizontal="center" vertical="center"/>
    </xf>
    <xf numFmtId="0" fontId="6" fillId="20" borderId="1" xfId="0" applyFont="1" applyFill="1" applyBorder="1" applyAlignment="1">
      <alignment horizontal="center" vertical="center"/>
    </xf>
    <xf numFmtId="1" fontId="6" fillId="20" borderId="1" xfId="0" applyNumberFormat="1" applyFont="1" applyFill="1" applyBorder="1" applyAlignment="1">
      <alignment horizontal="center" vertical="center"/>
    </xf>
    <xf numFmtId="164" fontId="6" fillId="20" borderId="1" xfId="0" applyNumberFormat="1" applyFont="1" applyFill="1" applyBorder="1" applyAlignment="1">
      <alignment horizontal="center" vertical="center"/>
    </xf>
    <xf numFmtId="0" fontId="15" fillId="7" borderId="1" xfId="0" applyFont="1" applyFill="1" applyBorder="1" applyAlignment="1">
      <alignment horizontal="center" vertical="center" wrapText="1"/>
    </xf>
    <xf numFmtId="0" fontId="7" fillId="21" borderId="1" xfId="0" applyFont="1" applyFill="1" applyBorder="1" applyAlignment="1">
      <alignment horizontal="left" vertical="center"/>
    </xf>
    <xf numFmtId="0" fontId="8" fillId="21" borderId="1" xfId="0" applyFont="1" applyFill="1" applyBorder="1" applyAlignment="1">
      <alignment horizontal="left" vertical="center"/>
    </xf>
    <xf numFmtId="0" fontId="7" fillId="21" borderId="1" xfId="0" applyFont="1" applyFill="1" applyBorder="1" applyAlignment="1">
      <alignment horizontal="center" vertical="center"/>
    </xf>
    <xf numFmtId="164" fontId="8" fillId="21" borderId="1" xfId="0" applyNumberFormat="1" applyFont="1" applyFill="1" applyBorder="1" applyAlignment="1">
      <alignment horizontal="center" vertical="center"/>
    </xf>
    <xf numFmtId="1" fontId="8" fillId="21" borderId="1" xfId="0" applyNumberFormat="1" applyFont="1" applyFill="1" applyBorder="1" applyAlignment="1">
      <alignment horizontal="center" vertical="center"/>
    </xf>
    <xf numFmtId="164" fontId="7" fillId="21" borderId="1" xfId="0" applyNumberFormat="1" applyFont="1" applyFill="1" applyBorder="1" applyAlignment="1">
      <alignment horizontal="center" vertical="center"/>
    </xf>
    <xf numFmtId="9" fontId="8" fillId="21" borderId="1" xfId="0" applyNumberFormat="1" applyFont="1" applyFill="1" applyBorder="1" applyAlignment="1">
      <alignment horizontal="center" vertical="center"/>
    </xf>
    <xf numFmtId="1" fontId="8" fillId="14" borderId="1" xfId="0" applyNumberFormat="1" applyFont="1" applyFill="1" applyBorder="1" applyAlignment="1">
      <alignment horizontal="center" vertical="center"/>
    </xf>
    <xf numFmtId="0" fontId="6" fillId="7" borderId="1" xfId="0" applyFont="1" applyFill="1" applyBorder="1" applyAlignment="1">
      <alignment horizontal="center" vertical="center"/>
    </xf>
    <xf numFmtId="1" fontId="6" fillId="7" borderId="1" xfId="0" applyNumberFormat="1" applyFont="1" applyFill="1" applyBorder="1" applyAlignment="1">
      <alignment horizontal="center" vertical="center"/>
    </xf>
    <xf numFmtId="164" fontId="6" fillId="7" borderId="1" xfId="0" applyNumberFormat="1" applyFont="1" applyFill="1" applyBorder="1" applyAlignment="1">
      <alignment horizontal="center" vertical="center"/>
    </xf>
    <xf numFmtId="9" fontId="6" fillId="7" borderId="1" xfId="0" applyNumberFormat="1" applyFont="1" applyFill="1" applyBorder="1" applyAlignment="1">
      <alignment horizontal="center" vertical="center"/>
    </xf>
    <xf numFmtId="0" fontId="15" fillId="22" borderId="1" xfId="0" applyFont="1" applyFill="1" applyBorder="1" applyAlignment="1">
      <alignment horizontal="center" vertical="center" wrapText="1"/>
    </xf>
    <xf numFmtId="0" fontId="7" fillId="23" borderId="1" xfId="0" applyFont="1" applyFill="1" applyBorder="1" applyAlignment="1">
      <alignment horizontal="left" vertical="center"/>
    </xf>
    <xf numFmtId="0" fontId="8" fillId="23" borderId="1" xfId="0" applyFont="1" applyFill="1" applyBorder="1" applyAlignment="1">
      <alignment horizontal="left" vertical="center"/>
    </xf>
    <xf numFmtId="1" fontId="7" fillId="23" borderId="1" xfId="0" applyNumberFormat="1" applyFont="1" applyFill="1" applyBorder="1" applyAlignment="1">
      <alignment horizontal="center" vertical="center"/>
    </xf>
    <xf numFmtId="164" fontId="8" fillId="23" borderId="1" xfId="0" applyNumberFormat="1" applyFont="1" applyFill="1" applyBorder="1" applyAlignment="1">
      <alignment horizontal="center" vertical="center"/>
    </xf>
    <xf numFmtId="164" fontId="7" fillId="23" borderId="1" xfId="0" applyNumberFormat="1" applyFont="1" applyFill="1" applyBorder="1" applyAlignment="1">
      <alignment horizontal="center" vertical="center"/>
    </xf>
    <xf numFmtId="1" fontId="7" fillId="14" borderId="1" xfId="0" applyNumberFormat="1" applyFont="1" applyFill="1" applyBorder="1" applyAlignment="1">
      <alignment horizontal="center" vertical="center"/>
    </xf>
    <xf numFmtId="0" fontId="6" fillId="22" borderId="1" xfId="0" applyFont="1" applyFill="1" applyBorder="1" applyAlignment="1">
      <alignment horizontal="center" vertical="center"/>
    </xf>
    <xf numFmtId="1" fontId="6" fillId="22" borderId="1" xfId="0" applyNumberFormat="1" applyFont="1" applyFill="1" applyBorder="1" applyAlignment="1">
      <alignment horizontal="center" vertical="center"/>
    </xf>
    <xf numFmtId="164" fontId="6" fillId="22" borderId="1" xfId="0" applyNumberFormat="1" applyFont="1" applyFill="1" applyBorder="1" applyAlignment="1">
      <alignment horizontal="center" vertical="center"/>
    </xf>
    <xf numFmtId="0" fontId="15" fillId="6" borderId="1" xfId="0" applyFont="1" applyFill="1" applyBorder="1" applyAlignment="1">
      <alignment horizontal="center" vertical="center" wrapText="1"/>
    </xf>
    <xf numFmtId="9" fontId="7" fillId="10" borderId="1" xfId="0" applyNumberFormat="1" applyFont="1" applyFill="1" applyBorder="1" applyAlignment="1">
      <alignment horizontal="center" vertical="center"/>
    </xf>
    <xf numFmtId="3" fontId="8" fillId="10" borderId="1" xfId="0" applyNumberFormat="1" applyFont="1" applyFill="1" applyBorder="1" applyAlignment="1">
      <alignment horizontal="center" vertical="center"/>
    </xf>
    <xf numFmtId="166" fontId="8" fillId="10" borderId="1" xfId="0" applyNumberFormat="1" applyFont="1" applyFill="1" applyBorder="1" applyAlignment="1">
      <alignment horizontal="center" vertical="center"/>
    </xf>
    <xf numFmtId="9" fontId="7" fillId="14" borderId="1" xfId="0" applyNumberFormat="1" applyFont="1" applyFill="1" applyBorder="1" applyAlignment="1">
      <alignment horizontal="center" vertical="center"/>
    </xf>
    <xf numFmtId="3" fontId="8" fillId="14" borderId="1" xfId="0" applyNumberFormat="1" applyFont="1" applyFill="1" applyBorder="1" applyAlignment="1">
      <alignment horizontal="center" vertical="center"/>
    </xf>
    <xf numFmtId="166" fontId="8" fillId="14" borderId="1" xfId="0" applyNumberFormat="1" applyFont="1" applyFill="1" applyBorder="1" applyAlignment="1">
      <alignment horizontal="center" vertical="center"/>
    </xf>
    <xf numFmtId="0" fontId="6" fillId="6" borderId="1" xfId="0" applyFont="1" applyFill="1" applyBorder="1" applyAlignment="1">
      <alignment horizontal="center" vertical="center"/>
    </xf>
    <xf numFmtId="9" fontId="6" fillId="6" borderId="1" xfId="0" applyNumberFormat="1" applyFont="1" applyFill="1" applyBorder="1" applyAlignment="1">
      <alignment horizontal="center" vertical="center"/>
    </xf>
    <xf numFmtId="3" fontId="6" fillId="6" borderId="1" xfId="0" applyNumberFormat="1" applyFont="1" applyFill="1" applyBorder="1" applyAlignment="1">
      <alignment horizontal="center" vertical="center"/>
    </xf>
    <xf numFmtId="166" fontId="6" fillId="6" borderId="1" xfId="0" applyNumberFormat="1" applyFont="1" applyFill="1" applyBorder="1" applyAlignment="1">
      <alignment horizontal="center" vertical="center"/>
    </xf>
    <xf numFmtId="164" fontId="6" fillId="6" borderId="1" xfId="0" applyNumberFormat="1" applyFont="1" applyFill="1" applyBorder="1" applyAlignment="1">
      <alignment horizontal="center" vertical="center"/>
    </xf>
    <xf numFmtId="0" fontId="15" fillId="4" borderId="1" xfId="0" applyFont="1" applyFill="1" applyBorder="1" applyAlignment="1">
      <alignment horizontal="center" vertical="center" wrapText="1"/>
    </xf>
    <xf numFmtId="0" fontId="7" fillId="13" borderId="1" xfId="0" applyFont="1" applyFill="1" applyBorder="1" applyAlignment="1">
      <alignment horizontal="left" vertical="center"/>
    </xf>
    <xf numFmtId="0" fontId="8" fillId="13" borderId="1" xfId="0" applyFont="1" applyFill="1" applyBorder="1" applyAlignment="1">
      <alignment horizontal="left" vertical="center"/>
    </xf>
    <xf numFmtId="164" fontId="7" fillId="13" borderId="1" xfId="0" applyNumberFormat="1" applyFont="1" applyFill="1" applyBorder="1" applyAlignment="1">
      <alignment horizontal="center" vertical="center"/>
    </xf>
    <xf numFmtId="164" fontId="8" fillId="13"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164" fontId="6" fillId="4" borderId="1" xfId="0" applyNumberFormat="1" applyFont="1" applyFill="1" applyBorder="1" applyAlignment="1">
      <alignment horizontal="center" vertical="center"/>
    </xf>
    <xf numFmtId="0" fontId="3" fillId="9" borderId="1" xfId="0" applyFont="1" applyFill="1" applyBorder="1" applyAlignment="1">
      <alignment horizontal="center" vertical="center" wrapText="1"/>
    </xf>
    <xf numFmtId="0" fontId="7" fillId="24" borderId="1" xfId="0" applyFont="1" applyFill="1" applyBorder="1" applyAlignment="1">
      <alignment horizontal="center" vertical="center"/>
    </xf>
    <xf numFmtId="0" fontId="7" fillId="24" borderId="1" xfId="0" applyFont="1" applyFill="1" applyBorder="1" applyAlignment="1">
      <alignment horizontal="left" vertical="center"/>
    </xf>
    <xf numFmtId="0" fontId="8" fillId="24" borderId="1" xfId="0" applyFont="1" applyFill="1" applyBorder="1" applyAlignment="1">
      <alignment horizontal="left" vertical="center"/>
    </xf>
    <xf numFmtId="164" fontId="8" fillId="24" borderId="1" xfId="0" applyNumberFormat="1" applyFont="1" applyFill="1" applyBorder="1" applyAlignment="1">
      <alignment horizontal="center" vertical="center"/>
    </xf>
    <xf numFmtId="2" fontId="18" fillId="24" borderId="1" xfId="0" applyNumberFormat="1" applyFont="1" applyFill="1" applyBorder="1" applyAlignment="1">
      <alignment horizontal="center" vertical="center"/>
    </xf>
    <xf numFmtId="0" fontId="8" fillId="24" borderId="1" xfId="0" applyFont="1" applyFill="1" applyBorder="1" applyAlignment="1">
      <alignment horizontal="left" vertical="center" wrapText="1"/>
    </xf>
    <xf numFmtId="0" fontId="7" fillId="25" borderId="1" xfId="0" applyFont="1" applyFill="1" applyBorder="1" applyAlignment="1">
      <alignment horizontal="center" vertical="center"/>
    </xf>
    <xf numFmtId="0" fontId="7" fillId="25" borderId="1" xfId="0" applyFont="1" applyFill="1" applyBorder="1" applyAlignment="1">
      <alignment horizontal="left" vertical="center"/>
    </xf>
    <xf numFmtId="0" fontId="8" fillId="25" borderId="1" xfId="0" applyFont="1" applyFill="1" applyBorder="1" applyAlignment="1">
      <alignment horizontal="left" vertical="center"/>
    </xf>
    <xf numFmtId="164" fontId="8" fillId="25" borderId="1" xfId="0" applyNumberFormat="1" applyFont="1" applyFill="1" applyBorder="1" applyAlignment="1">
      <alignment horizontal="center" vertical="center"/>
    </xf>
    <xf numFmtId="2" fontId="18" fillId="25" borderId="1" xfId="0" applyNumberFormat="1" applyFont="1" applyFill="1" applyBorder="1" applyAlignment="1">
      <alignment horizontal="center" vertical="center"/>
    </xf>
    <xf numFmtId="0" fontId="6" fillId="5" borderId="1" xfId="0" applyFont="1" applyFill="1" applyBorder="1" applyAlignment="1">
      <alignment horizontal="center" vertical="center"/>
    </xf>
    <xf numFmtId="0" fontId="8" fillId="25" borderId="1" xfId="0" applyFont="1" applyFill="1" applyBorder="1" applyAlignment="1">
      <alignment horizontal="left" vertical="center" wrapText="1"/>
    </xf>
    <xf numFmtId="0" fontId="7" fillId="26" borderId="1" xfId="0" applyFont="1" applyFill="1" applyBorder="1" applyAlignment="1">
      <alignment horizontal="center" vertical="center"/>
    </xf>
    <xf numFmtId="0" fontId="7" fillId="26" borderId="1" xfId="0" applyFont="1" applyFill="1" applyBorder="1" applyAlignment="1">
      <alignment horizontal="left" vertical="center"/>
    </xf>
    <xf numFmtId="0" fontId="8" fillId="26" borderId="1" xfId="0" applyFont="1" applyFill="1" applyBorder="1" applyAlignment="1">
      <alignment horizontal="left" vertical="center"/>
    </xf>
    <xf numFmtId="164" fontId="8" fillId="26" borderId="1" xfId="0" applyNumberFormat="1" applyFont="1" applyFill="1" applyBorder="1" applyAlignment="1">
      <alignment horizontal="center" vertical="center"/>
    </xf>
    <xf numFmtId="2" fontId="18" fillId="26" borderId="1" xfId="0" applyNumberFormat="1" applyFont="1" applyFill="1" applyBorder="1" applyAlignment="1">
      <alignment horizontal="center" vertical="center"/>
    </xf>
    <xf numFmtId="0" fontId="8" fillId="26" borderId="1" xfId="0" applyFont="1" applyFill="1" applyBorder="1" applyAlignment="1">
      <alignment horizontal="left" vertical="center" wrapText="1"/>
    </xf>
    <xf numFmtId="0" fontId="7" fillId="17" borderId="1" xfId="0" applyFont="1" applyFill="1" applyBorder="1" applyAlignment="1">
      <alignment horizontal="center" vertical="center"/>
    </xf>
    <xf numFmtId="0" fontId="7" fillId="17" borderId="1" xfId="0" applyFont="1" applyFill="1" applyBorder="1" applyAlignment="1">
      <alignment horizontal="left" vertical="center"/>
    </xf>
    <xf numFmtId="0" fontId="8" fillId="17" borderId="1" xfId="0" applyFont="1" applyFill="1" applyBorder="1" applyAlignment="1">
      <alignment horizontal="left" vertical="center"/>
    </xf>
    <xf numFmtId="164" fontId="8" fillId="17" borderId="1" xfId="0" applyNumberFormat="1" applyFont="1" applyFill="1" applyBorder="1" applyAlignment="1">
      <alignment horizontal="center" vertical="center"/>
    </xf>
    <xf numFmtId="2" fontId="18" fillId="17" borderId="1" xfId="0" applyNumberFormat="1" applyFont="1" applyFill="1" applyBorder="1" applyAlignment="1">
      <alignment horizontal="center" vertical="center"/>
    </xf>
    <xf numFmtId="0" fontId="8" fillId="17" borderId="1" xfId="0" applyFont="1" applyFill="1" applyBorder="1" applyAlignment="1">
      <alignment horizontal="left" vertical="center" wrapText="1"/>
    </xf>
    <xf numFmtId="2" fontId="18" fillId="10" borderId="1" xfId="0" applyNumberFormat="1" applyFont="1" applyFill="1" applyBorder="1" applyAlignment="1">
      <alignment horizontal="center" vertical="center"/>
    </xf>
    <xf numFmtId="0" fontId="8" fillId="10" borderId="1" xfId="0" applyFont="1" applyFill="1" applyBorder="1" applyAlignment="1">
      <alignment horizontal="left" vertical="center" wrapText="1"/>
    </xf>
    <xf numFmtId="0" fontId="7" fillId="18" borderId="1" xfId="0" applyFont="1" applyFill="1" applyBorder="1" applyAlignment="1">
      <alignment horizontal="center" vertical="center"/>
    </xf>
    <xf numFmtId="0" fontId="7" fillId="18" borderId="1" xfId="0" applyFont="1" applyFill="1" applyBorder="1" applyAlignment="1">
      <alignment horizontal="left" vertical="center"/>
    </xf>
    <xf numFmtId="0" fontId="8" fillId="18" borderId="1" xfId="0" applyFont="1" applyFill="1" applyBorder="1" applyAlignment="1">
      <alignment horizontal="left" vertical="center"/>
    </xf>
    <xf numFmtId="164" fontId="8" fillId="18" borderId="1" xfId="0" applyNumberFormat="1" applyFont="1" applyFill="1" applyBorder="1" applyAlignment="1">
      <alignment horizontal="center" vertical="center"/>
    </xf>
    <xf numFmtId="2" fontId="18" fillId="18" borderId="1" xfId="0" applyNumberFormat="1" applyFont="1" applyFill="1" applyBorder="1" applyAlignment="1">
      <alignment horizontal="center" vertical="center"/>
    </xf>
    <xf numFmtId="0" fontId="8" fillId="18" borderId="1" xfId="0" applyFont="1" applyFill="1" applyBorder="1" applyAlignment="1">
      <alignment horizontal="left" vertical="center" wrapText="1"/>
    </xf>
    <xf numFmtId="0" fontId="7" fillId="23" borderId="1" xfId="0" applyFont="1" applyFill="1" applyBorder="1" applyAlignment="1">
      <alignment horizontal="center" vertical="center"/>
    </xf>
    <xf numFmtId="2" fontId="18" fillId="23" borderId="1" xfId="0" applyNumberFormat="1" applyFont="1" applyFill="1" applyBorder="1" applyAlignment="1">
      <alignment horizontal="center" vertical="center"/>
    </xf>
    <xf numFmtId="0" fontId="8" fillId="23" borderId="1" xfId="0" applyFont="1" applyFill="1" applyBorder="1" applyAlignment="1">
      <alignment horizontal="left" vertical="center" wrapText="1"/>
    </xf>
    <xf numFmtId="0" fontId="7" fillId="13" borderId="1" xfId="0" applyFont="1" applyFill="1" applyBorder="1" applyAlignment="1">
      <alignment horizontal="center" vertical="center"/>
    </xf>
    <xf numFmtId="2" fontId="18" fillId="13" borderId="1" xfId="0" applyNumberFormat="1" applyFont="1" applyFill="1" applyBorder="1" applyAlignment="1">
      <alignment horizontal="center" vertical="center"/>
    </xf>
    <xf numFmtId="0" fontId="8" fillId="13" borderId="1" xfId="0" applyFont="1" applyFill="1" applyBorder="1" applyAlignment="1">
      <alignment horizontal="left" vertical="center" wrapText="1"/>
    </xf>
    <xf numFmtId="0" fontId="3" fillId="27" borderId="1" xfId="0" applyFont="1" applyFill="1" applyBorder="1" applyAlignment="1">
      <alignment horizontal="center" vertical="center"/>
    </xf>
    <xf numFmtId="0" fontId="3" fillId="27" borderId="1" xfId="0" applyFont="1" applyFill="1" applyBorder="1" applyAlignment="1">
      <alignment horizontal="center" vertical="center" wrapText="1"/>
    </xf>
    <xf numFmtId="0" fontId="22" fillId="21" borderId="1" xfId="0" applyFont="1" applyFill="1" applyBorder="1" applyAlignment="1">
      <alignment horizontal="left" vertical="center"/>
    </xf>
    <xf numFmtId="0" fontId="22" fillId="14" borderId="1" xfId="0" applyFont="1" applyFill="1" applyBorder="1" applyAlignment="1">
      <alignment horizontal="left" vertical="center"/>
    </xf>
    <xf numFmtId="0" fontId="3" fillId="27" borderId="1" xfId="0" applyFont="1" applyFill="1" applyBorder="1" applyAlignment="1">
      <alignment horizontal="left" vertical="center"/>
    </xf>
    <xf numFmtId="2" fontId="6" fillId="27" borderId="1" xfId="0" applyNumberFormat="1" applyFont="1" applyFill="1" applyBorder="1" applyAlignment="1">
      <alignment horizontal="center" vertical="center"/>
    </xf>
    <xf numFmtId="0" fontId="15" fillId="9" borderId="1" xfId="0" applyFont="1" applyFill="1" applyBorder="1" applyAlignment="1">
      <alignment horizontal="center" vertical="center" wrapText="1"/>
    </xf>
    <xf numFmtId="0" fontId="23" fillId="17" borderId="1" xfId="0" applyFont="1" applyFill="1" applyBorder="1" applyAlignment="1">
      <alignment horizontal="left" vertical="center"/>
    </xf>
    <xf numFmtId="0" fontId="24" fillId="13" borderId="1" xfId="0" applyFont="1" applyFill="1" applyBorder="1" applyAlignment="1">
      <alignment horizontal="left" vertical="center"/>
    </xf>
    <xf numFmtId="0" fontId="25" fillId="28" borderId="1" xfId="0" applyFont="1" applyFill="1" applyBorder="1" applyAlignment="1">
      <alignment horizontal="left" vertical="center"/>
    </xf>
    <xf numFmtId="0" fontId="26" fillId="17" borderId="1" xfId="0" applyFont="1" applyFill="1" applyBorder="1" applyAlignment="1">
      <alignment horizontal="left" vertical="center"/>
    </xf>
    <xf numFmtId="0" fontId="27" fillId="23" borderId="1" xfId="0" applyFont="1" applyFill="1" applyBorder="1" applyAlignment="1">
      <alignment horizontal="left" vertical="center"/>
    </xf>
    <xf numFmtId="0" fontId="28" fillId="18" borderId="1" xfId="0" applyFont="1" applyFill="1" applyBorder="1" applyAlignment="1">
      <alignment horizontal="left" vertical="center"/>
    </xf>
    <xf numFmtId="0" fontId="0" fillId="0" borderId="0" xfId="0" applyNumberFormat="1"/>
    <xf numFmtId="0" fontId="0" fillId="0" borderId="0" xfId="0" pivotButton="1"/>
    <xf numFmtId="0" fontId="0" fillId="0" borderId="0" xfId="0" applyAlignment="1">
      <alignment horizontal="left"/>
    </xf>
    <xf numFmtId="0" fontId="0" fillId="30" borderId="0" xfId="0" applyFill="1"/>
    <xf numFmtId="164" fontId="7" fillId="13" borderId="3" xfId="0" applyNumberFormat="1" applyFont="1" applyFill="1" applyBorder="1" applyAlignment="1">
      <alignment horizontal="center" vertical="center"/>
    </xf>
    <xf numFmtId="164" fontId="7" fillId="14" borderId="3" xfId="0" applyNumberFormat="1"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9" borderId="2" xfId="0" applyFont="1" applyFill="1" applyBorder="1" applyAlignment="1">
      <alignment horizontal="center" vertical="center"/>
    </xf>
    <xf numFmtId="0" fontId="15" fillId="4" borderId="5" xfId="0" applyFont="1" applyFill="1" applyBorder="1" applyAlignment="1">
      <alignment horizontal="center" vertical="center" wrapText="1"/>
    </xf>
    <xf numFmtId="164" fontId="7" fillId="13" borderId="6" xfId="0" applyNumberFormat="1" applyFont="1" applyFill="1" applyBorder="1" applyAlignment="1">
      <alignment horizontal="center" vertical="center"/>
    </xf>
    <xf numFmtId="0" fontId="9" fillId="11" borderId="7" xfId="0" applyFont="1" applyFill="1" applyBorder="1" applyAlignment="1">
      <alignment horizontal="center" vertical="center"/>
    </xf>
    <xf numFmtId="0" fontId="30" fillId="4" borderId="4" xfId="0" applyFont="1" applyFill="1" applyBorder="1" applyAlignment="1">
      <alignment horizontal="center" vertical="center" wrapText="1"/>
    </xf>
    <xf numFmtId="0" fontId="0" fillId="0" borderId="0" xfId="0" applyAlignment="1">
      <alignment horizontal="left" indent="1"/>
    </xf>
    <xf numFmtId="0" fontId="0" fillId="0" borderId="0" xfId="0" applyFill="1"/>
    <xf numFmtId="0" fontId="6" fillId="9" borderId="0" xfId="0" applyFont="1" applyFill="1" applyBorder="1" applyAlignment="1">
      <alignment horizontal="left" vertical="center"/>
    </xf>
    <xf numFmtId="0" fontId="0" fillId="4" borderId="0" xfId="0" applyFill="1" applyBorder="1"/>
    <xf numFmtId="0" fontId="0" fillId="5" borderId="0" xfId="0" applyFill="1" applyBorder="1"/>
    <xf numFmtId="0" fontId="0" fillId="6" borderId="0" xfId="0" applyFill="1" applyBorder="1"/>
    <xf numFmtId="0" fontId="0" fillId="7" borderId="0" xfId="0" applyFill="1" applyBorder="1"/>
    <xf numFmtId="0" fontId="0" fillId="8" borderId="0" xfId="0" applyFill="1" applyBorder="1"/>
    <xf numFmtId="0" fontId="5" fillId="4" borderId="0" xfId="0" applyFont="1" applyFill="1" applyBorder="1" applyAlignment="1">
      <alignment horizontal="center" vertical="center"/>
    </xf>
    <xf numFmtId="0" fontId="5" fillId="5" borderId="0" xfId="0" applyFont="1" applyFill="1" applyBorder="1" applyAlignment="1">
      <alignment horizontal="center" vertical="center"/>
    </xf>
    <xf numFmtId="0" fontId="5" fillId="6" borderId="0" xfId="0" applyFont="1" applyFill="1" applyBorder="1" applyAlignment="1">
      <alignment horizontal="center" vertical="center"/>
    </xf>
    <xf numFmtId="0" fontId="5" fillId="7" borderId="0" xfId="0" applyFont="1" applyFill="1" applyBorder="1" applyAlignment="1">
      <alignment horizontal="center" vertical="center"/>
    </xf>
    <xf numFmtId="0" fontId="5" fillId="8" borderId="0" xfId="0" applyFont="1" applyFill="1" applyBorder="1" applyAlignment="1">
      <alignment horizontal="center" vertical="center"/>
    </xf>
    <xf numFmtId="0" fontId="4" fillId="4" borderId="0" xfId="0" applyFont="1" applyFill="1" applyBorder="1" applyAlignment="1">
      <alignment horizontal="center" vertical="center"/>
    </xf>
    <xf numFmtId="0" fontId="4" fillId="5" borderId="0" xfId="0" applyFont="1" applyFill="1" applyBorder="1" applyAlignment="1">
      <alignment horizontal="center" vertical="center"/>
    </xf>
    <xf numFmtId="0" fontId="4" fillId="6" borderId="0" xfId="0" applyFont="1" applyFill="1" applyBorder="1" applyAlignment="1">
      <alignment horizontal="center" vertical="center"/>
    </xf>
    <xf numFmtId="0" fontId="4" fillId="7" borderId="0" xfId="0" applyFont="1" applyFill="1" applyBorder="1" applyAlignment="1">
      <alignment horizontal="center" vertical="center"/>
    </xf>
    <xf numFmtId="0" fontId="4" fillId="8" borderId="0" xfId="0" applyFont="1" applyFill="1" applyBorder="1" applyAlignment="1">
      <alignment horizontal="center" vertical="center"/>
    </xf>
    <xf numFmtId="0" fontId="1" fillId="2" borderId="0" xfId="0" applyFont="1" applyFill="1" applyBorder="1" applyAlignment="1">
      <alignment horizontal="center" vertical="center"/>
    </xf>
    <xf numFmtId="0" fontId="2" fillId="3" borderId="0" xfId="0" applyFont="1" applyFill="1" applyBorder="1" applyAlignment="1">
      <alignment horizontal="center" vertical="center"/>
    </xf>
    <xf numFmtId="0" fontId="3" fillId="4" borderId="0" xfId="0" applyFont="1" applyFill="1" applyBorder="1" applyAlignment="1">
      <alignment horizontal="center" vertical="center"/>
    </xf>
    <xf numFmtId="0" fontId="3" fillId="5" borderId="0" xfId="0" applyFont="1" applyFill="1" applyBorder="1" applyAlignment="1">
      <alignment horizontal="center" vertical="center"/>
    </xf>
    <xf numFmtId="0" fontId="3" fillId="6" borderId="0" xfId="0" applyFont="1" applyFill="1" applyBorder="1" applyAlignment="1">
      <alignment horizontal="center" vertical="center"/>
    </xf>
    <xf numFmtId="0" fontId="3" fillId="7" borderId="0" xfId="0" applyFont="1" applyFill="1" applyBorder="1" applyAlignment="1">
      <alignment horizontal="center" vertical="center"/>
    </xf>
    <xf numFmtId="0" fontId="3" fillId="8" borderId="0" xfId="0" applyFont="1" applyFill="1" applyBorder="1" applyAlignment="1">
      <alignment horizontal="center" vertical="center"/>
    </xf>
    <xf numFmtId="0" fontId="13" fillId="20" borderId="0" xfId="0" applyFont="1" applyFill="1" applyBorder="1" applyAlignment="1">
      <alignment horizontal="center" vertical="center"/>
    </xf>
    <xf numFmtId="0" fontId="14" fillId="20" borderId="0" xfId="0" applyFont="1" applyFill="1" applyBorder="1" applyAlignment="1">
      <alignment horizontal="center" vertical="center"/>
    </xf>
    <xf numFmtId="0" fontId="13" fillId="7" borderId="0" xfId="0" applyFont="1" applyFill="1" applyBorder="1" applyAlignment="1">
      <alignment horizontal="center" vertical="center"/>
    </xf>
    <xf numFmtId="0" fontId="14" fillId="7" borderId="0" xfId="0" applyFont="1" applyFill="1" applyBorder="1" applyAlignment="1">
      <alignment horizontal="center" vertical="center"/>
    </xf>
    <xf numFmtId="0" fontId="13" fillId="22" borderId="0" xfId="0" applyFont="1" applyFill="1" applyBorder="1" applyAlignment="1">
      <alignment horizontal="center" vertical="center"/>
    </xf>
    <xf numFmtId="0" fontId="14" fillId="22" borderId="0" xfId="0" applyFont="1" applyFill="1" applyBorder="1" applyAlignment="1">
      <alignment horizontal="center" vertical="center"/>
    </xf>
    <xf numFmtId="0" fontId="13" fillId="6" borderId="0" xfId="0" applyFont="1" applyFill="1" applyBorder="1" applyAlignment="1">
      <alignment horizontal="center" vertical="center"/>
    </xf>
    <xf numFmtId="0" fontId="13" fillId="4" borderId="0" xfId="0" applyFont="1" applyFill="1" applyBorder="1" applyAlignment="1">
      <alignment horizontal="center" vertical="center"/>
    </xf>
    <xf numFmtId="0" fontId="14" fillId="4" borderId="0" xfId="0" applyFont="1" applyFill="1" applyBorder="1" applyAlignment="1">
      <alignment horizontal="center" vertical="center"/>
    </xf>
    <xf numFmtId="0" fontId="20" fillId="17" borderId="2" xfId="0" applyFont="1" applyFill="1" applyBorder="1" applyAlignment="1">
      <alignment horizontal="left" vertical="center"/>
    </xf>
    <xf numFmtId="0" fontId="21" fillId="14" borderId="2" xfId="0" applyFont="1" applyFill="1" applyBorder="1" applyAlignment="1">
      <alignment horizontal="left" vertical="center" wrapText="1"/>
    </xf>
    <xf numFmtId="0" fontId="4" fillId="3" borderId="0" xfId="0" applyFont="1" applyFill="1" applyBorder="1" applyAlignment="1">
      <alignment horizontal="center" vertical="center"/>
    </xf>
    <xf numFmtId="0" fontId="17" fillId="2" borderId="0" xfId="0" applyFont="1" applyFill="1" applyBorder="1" applyAlignment="1">
      <alignment horizontal="center" vertical="center"/>
    </xf>
    <xf numFmtId="0" fontId="5" fillId="9" borderId="0" xfId="0" applyFont="1" applyFill="1" applyBorder="1" applyAlignment="1">
      <alignment horizontal="center" vertical="center"/>
    </xf>
    <xf numFmtId="0" fontId="19" fillId="2" borderId="0" xfId="0" applyFont="1" applyFill="1" applyBorder="1" applyAlignment="1">
      <alignment horizontal="left" vertical="center"/>
    </xf>
    <xf numFmtId="0" fontId="13" fillId="27" borderId="0" xfId="0" applyFont="1" applyFill="1" applyBorder="1" applyAlignment="1">
      <alignment horizontal="center" vertical="center"/>
    </xf>
    <xf numFmtId="0" fontId="29" fillId="29" borderId="0" xfId="0" applyFont="1" applyFill="1" applyBorder="1" applyAlignment="1">
      <alignment horizontal="center"/>
    </xf>
    <xf numFmtId="0" fontId="20" fillId="10" borderId="2" xfId="0" applyFont="1" applyFill="1" applyBorder="1" applyAlignment="1">
      <alignment horizontal="left" vertical="center" wrapText="1"/>
    </xf>
    <xf numFmtId="0" fontId="13" fillId="9" borderId="0" xfId="0" applyFont="1" applyFill="1" applyBorder="1" applyAlignment="1">
      <alignment horizontal="center" vertical="center"/>
    </xf>
  </cellXfs>
  <cellStyles count="1">
    <cellStyle name="Normal" xfId="0" builtinId="0"/>
  </cellStyles>
  <dxfs count="5">
    <dxf>
      <font>
        <b/>
        <i val="0"/>
        <strike val="0"/>
        <condense val="0"/>
        <extend val="0"/>
        <outline val="0"/>
        <shadow val="0"/>
        <u val="none"/>
        <vertAlign val="baseline"/>
        <sz val="11"/>
        <color rgb="FF000000"/>
        <name val="Arial"/>
        <charset val="1"/>
        <scheme val="none"/>
      </font>
      <numFmt numFmtId="164" formatCode="0.0"/>
      <fill>
        <patternFill patternType="solid">
          <fgColor rgb="FFFFE0B2"/>
          <bgColor rgb="FFFFCDD2"/>
        </patternFill>
      </fill>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0"/>
        <color rgb="FFFFFFFF"/>
        <name val="Arial"/>
        <charset val="1"/>
        <scheme val="none"/>
      </font>
      <fill>
        <patternFill patternType="solid">
          <fgColor rgb="FFBF360C"/>
          <bgColor rgb="FFB71C1C"/>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indexedColors>
      <rgbColor rgb="FF000000"/>
      <rgbColor rgb="FFFFFFFF"/>
      <rgbColor rgb="FFFF0000"/>
      <rgbColor rgb="FF00FF00"/>
      <rgbColor rgb="FF0000FF"/>
      <rgbColor rgb="FFF9F9F9"/>
      <rgbColor rgb="FFFF00FF"/>
      <rgbColor rgb="FF00FFFF"/>
      <rgbColor rgb="FF800000"/>
      <rgbColor rgb="FF138808"/>
      <rgbColor rgb="FF000080"/>
      <rgbColor rgb="FF808000"/>
      <rgbColor rgb="FF800080"/>
      <rgbColor rgb="FF00695C"/>
      <rgbColor rgb="FFC0C0C0"/>
      <rgbColor rgb="FF878787"/>
      <rgbColor rgb="FF9999FF"/>
      <rgbColor rgb="FFB71C1C"/>
      <rgbColor rgb="FFFFF9C4"/>
      <rgbColor rgb="FFE3F2FD"/>
      <rgbColor rgb="FF4A148C"/>
      <rgbColor rgb="FFF8696B"/>
      <rgbColor rgb="FF1565C0"/>
      <rgbColor rgb="FFBBDEFB"/>
      <rgbColor rgb="FF000080"/>
      <rgbColor rgb="FFFF00FF"/>
      <rgbColor rgb="FFFFFF00"/>
      <rgbColor rgb="FF00FFFF"/>
      <rgbColor rgb="FF800080"/>
      <rgbColor rgb="FF800000"/>
      <rgbColor rgb="FF008080"/>
      <rgbColor rgb="FF0000FF"/>
      <rgbColor rgb="FF00CCFF"/>
      <rgbColor rgb="FFE8F5E9"/>
      <rgbColor rgb="FFC8E6C9"/>
      <rgbColor rgb="FFFFEB84"/>
      <rgbColor rgb="FFA9D18E"/>
      <rgbColor rgb="FFFFCDD2"/>
      <rgbColor rgb="FFD9D9D9"/>
      <rgbColor rgb="FFFFE0B2"/>
      <rgbColor rgb="FF4F81BD"/>
      <rgbColor rgb="FF63BE7B"/>
      <rgbColor rgb="FFF4B942"/>
      <rgbColor rgb="FFFFD700"/>
      <rgbColor rgb="FFFF9933"/>
      <rgbColor rgb="FFCD7F32"/>
      <rgbColor rgb="FF546E7A"/>
      <rgbColor rgb="FFF9A825"/>
      <rgbColor rgb="FF003366"/>
      <rgbColor rgb="FF2E7D52"/>
      <rgbColor rgb="FF003300"/>
      <rgbColor rgb="FF333300"/>
      <rgbColor rgb="FFBF360C"/>
      <rgbColor rgb="FF993366"/>
      <rgbColor rgb="FF333399"/>
      <rgbColor rgb="FF1A3A2C"/>
      <rgbColor rgb="00003366"/>
      <rgbColor rgb="00339966"/>
      <rgbColor rgb="00003300"/>
      <rgbColor rgb="00333300"/>
      <rgbColor rgb="00993300"/>
      <rgbColor rgb="00993366"/>
      <rgbColor rgb="00333399"/>
      <rgbColor rgb="00333333"/>
    </indexedColors>
    <mruColors>
      <color rgb="FFBFE2E3"/>
      <color rgb="FFAED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microsoft.com/office/2007/relationships/slicerCache" Target="slicerCaches/slicerCache3.xml"/><Relationship Id="rId30"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0.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AQI by City 2024 (Lower is Better)</a:t>
            </a:r>
          </a:p>
        </c:rich>
      </c:tx>
      <c:overlay val="0"/>
      <c:spPr>
        <a:noFill/>
        <a:ln w="0">
          <a:noFill/>
        </a:ln>
      </c:spPr>
    </c:title>
    <c:autoTitleDeleted val="0"/>
    <c:plotArea>
      <c:layout/>
      <c:barChart>
        <c:barDir val="col"/>
        <c:grouping val="clustered"/>
        <c:varyColors val="0"/>
        <c:ser>
          <c:idx val="0"/>
          <c:order val="0"/>
          <c:tx>
            <c:strRef>
              <c:f>'Air Quality'!$C$3</c:f>
              <c:strCache>
                <c:ptCount val="1"/>
                <c:pt idx="0">
                  <c:v>AQI (2024)</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'Air Quality'!$A$4:$A$18</c:f>
              <c:strCache>
                <c:ptCount val="15"/>
                <c:pt idx="0">
                  <c:v>Mumbai</c:v>
                </c:pt>
                <c:pt idx="1">
                  <c:v>Delhi</c:v>
                </c:pt>
                <c:pt idx="2">
                  <c:v>Bengaluru</c:v>
                </c:pt>
                <c:pt idx="3">
                  <c:v>Hyderabad</c:v>
                </c:pt>
                <c:pt idx="4">
                  <c:v>Chennai</c:v>
                </c:pt>
                <c:pt idx="5">
                  <c:v>Kolkata</c:v>
                </c:pt>
                <c:pt idx="6">
                  <c:v>Pune</c:v>
                </c:pt>
                <c:pt idx="7">
                  <c:v>Ahmedabad</c:v>
                </c:pt>
                <c:pt idx="8">
                  <c:v>Jaipur</c:v>
                </c:pt>
                <c:pt idx="9">
                  <c:v>Lucknow</c:v>
                </c:pt>
                <c:pt idx="10">
                  <c:v>Surat</c:v>
                </c:pt>
                <c:pt idx="11">
                  <c:v>Kochi</c:v>
                </c:pt>
                <c:pt idx="12">
                  <c:v>Chandigarh</c:v>
                </c:pt>
                <c:pt idx="13">
                  <c:v>Bhopal</c:v>
                </c:pt>
                <c:pt idx="14">
                  <c:v>Nagpur</c:v>
                </c:pt>
              </c:strCache>
            </c:strRef>
          </c:cat>
          <c:val>
            <c:numRef>
              <c:f>'Air Quality'!$C$4:$C$18</c:f>
              <c:numCache>
                <c:formatCode>General</c:formatCode>
                <c:ptCount val="15"/>
                <c:pt idx="0">
                  <c:v>148</c:v>
                </c:pt>
                <c:pt idx="1">
                  <c:v>312</c:v>
                </c:pt>
                <c:pt idx="2">
                  <c:v>89</c:v>
                </c:pt>
                <c:pt idx="3">
                  <c:v>112</c:v>
                </c:pt>
                <c:pt idx="4">
                  <c:v>98</c:v>
                </c:pt>
                <c:pt idx="5">
                  <c:v>201</c:v>
                </c:pt>
                <c:pt idx="6">
                  <c:v>102</c:v>
                </c:pt>
                <c:pt idx="7">
                  <c:v>178</c:v>
                </c:pt>
                <c:pt idx="8">
                  <c:v>195</c:v>
                </c:pt>
                <c:pt idx="9">
                  <c:v>248</c:v>
                </c:pt>
                <c:pt idx="10">
                  <c:v>134</c:v>
                </c:pt>
                <c:pt idx="11">
                  <c:v>75</c:v>
                </c:pt>
                <c:pt idx="12">
                  <c:v>68</c:v>
                </c:pt>
                <c:pt idx="13">
                  <c:v>121</c:v>
                </c:pt>
                <c:pt idx="14">
                  <c:v>115</c:v>
                </c:pt>
              </c:numCache>
            </c:numRef>
          </c:val>
          <c:extLst>
            <c:ext xmlns:c16="http://schemas.microsoft.com/office/drawing/2014/chart" uri="{C3380CC4-5D6E-409C-BE32-E72D297353CC}">
              <c16:uniqueId val="{00000000-C3D9-4D9F-A8BA-56E84470BEAF}"/>
            </c:ext>
          </c:extLst>
        </c:ser>
        <c:dLbls>
          <c:showLegendKey val="0"/>
          <c:showVal val="0"/>
          <c:showCatName val="0"/>
          <c:showSerName val="0"/>
          <c:showPercent val="0"/>
          <c:showBubbleSize val="0"/>
        </c:dLbls>
        <c:gapWidth val="150"/>
        <c:axId val="12894661"/>
        <c:axId val="95118035"/>
      </c:barChart>
      <c:catAx>
        <c:axId val="12894661"/>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City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5118035"/>
        <c:crosses val="autoZero"/>
        <c:auto val="1"/>
        <c:lblAlgn val="ctr"/>
        <c:lblOffset val="100"/>
        <c:noMultiLvlLbl val="0"/>
      </c:catAx>
      <c:valAx>
        <c:axId val="9511803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AQI</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289466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 data analysis.xlsx]WQI G!PivotTable15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WQI vs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'WQI G'!$B$3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'WQI G'!$A$4:$A$19</c:f>
              <c:strCache>
                <c:ptCount val="15"/>
                <c:pt idx="0">
                  <c:v>Ahmedabad</c:v>
                </c:pt>
                <c:pt idx="1">
                  <c:v>Bengaluru</c:v>
                </c:pt>
                <c:pt idx="2">
                  <c:v>Bhopal</c:v>
                </c:pt>
                <c:pt idx="3">
                  <c:v>Chandigarh</c:v>
                </c:pt>
                <c:pt idx="4">
                  <c:v>Chennai</c:v>
                </c:pt>
                <c:pt idx="5">
                  <c:v>Delhi</c:v>
                </c:pt>
                <c:pt idx="6">
                  <c:v>Hyderabad</c:v>
                </c:pt>
                <c:pt idx="7">
                  <c:v>Jaipur</c:v>
                </c:pt>
                <c:pt idx="8">
                  <c:v>Kochi</c:v>
                </c:pt>
                <c:pt idx="9">
                  <c:v>Kolkata</c:v>
                </c:pt>
                <c:pt idx="10">
                  <c:v>Lucknow</c:v>
                </c:pt>
                <c:pt idx="11">
                  <c:v>Mumbai</c:v>
                </c:pt>
                <c:pt idx="12">
                  <c:v>Nagpur</c:v>
                </c:pt>
                <c:pt idx="13">
                  <c:v>Pune</c:v>
                </c:pt>
                <c:pt idx="14">
                  <c:v>Surat</c:v>
                </c:pt>
              </c:strCache>
            </c:strRef>
          </c:cat>
          <c:val>
            <c:numRef>
              <c:f>'WQI G'!$B$4:$B$19</c:f>
              <c:numCache>
                <c:formatCode>General</c:formatCode>
                <c:ptCount val="15"/>
                <c:pt idx="0">
                  <c:v>52</c:v>
                </c:pt>
                <c:pt idx="1">
                  <c:v>71</c:v>
                </c:pt>
                <c:pt idx="2">
                  <c:v>65</c:v>
                </c:pt>
                <c:pt idx="3">
                  <c:v>82</c:v>
                </c:pt>
                <c:pt idx="4">
                  <c:v>58</c:v>
                </c:pt>
                <c:pt idx="5">
                  <c:v>38</c:v>
                </c:pt>
                <c:pt idx="6">
                  <c:v>66</c:v>
                </c:pt>
                <c:pt idx="7">
                  <c:v>48</c:v>
                </c:pt>
                <c:pt idx="8">
                  <c:v>78</c:v>
                </c:pt>
                <c:pt idx="9">
                  <c:v>44</c:v>
                </c:pt>
                <c:pt idx="10">
                  <c:v>41</c:v>
                </c:pt>
                <c:pt idx="11">
                  <c:v>62</c:v>
                </c:pt>
                <c:pt idx="12">
                  <c:v>67</c:v>
                </c:pt>
                <c:pt idx="13">
                  <c:v>69</c:v>
                </c:pt>
                <c:pt idx="14">
                  <c:v>61</c:v>
                </c:pt>
              </c:numCache>
            </c:numRef>
          </c:val>
          <c:extLst>
            <c:ext xmlns:c16="http://schemas.microsoft.com/office/drawing/2014/chart" uri="{C3380CC4-5D6E-409C-BE32-E72D297353CC}">
              <c16:uniqueId val="{00000000-F68F-47DE-9EA9-2D5CAE976E2B}"/>
            </c:ext>
          </c:extLst>
        </c:ser>
        <c:dLbls>
          <c:dLblPos val="outEnd"/>
          <c:showLegendKey val="0"/>
          <c:showVal val="1"/>
          <c:showCatName val="0"/>
          <c:showSerName val="0"/>
          <c:showPercent val="0"/>
          <c:showBubbleSize val="0"/>
        </c:dLbls>
        <c:gapWidth val="182"/>
        <c:axId val="317148352"/>
        <c:axId val="680743696"/>
      </c:barChart>
      <c:catAx>
        <c:axId val="3171483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City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743696"/>
        <c:crosses val="autoZero"/>
        <c:auto val="1"/>
        <c:lblAlgn val="ctr"/>
        <c:lblOffset val="100"/>
        <c:noMultiLvlLbl val="0"/>
      </c:catAx>
      <c:valAx>
        <c:axId val="6807436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WQI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14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Water Quality Index by City (Higher is Better)</a:t>
            </a:r>
          </a:p>
        </c:rich>
      </c:tx>
      <c:overlay val="0"/>
      <c:spPr>
        <a:noFill/>
        <a:ln w="0">
          <a:noFill/>
        </a:ln>
      </c:spPr>
    </c:title>
    <c:autoTitleDeleted val="0"/>
    <c:plotArea>
      <c:layout/>
      <c:barChart>
        <c:barDir val="bar"/>
        <c:grouping val="clustered"/>
        <c:varyColors val="0"/>
        <c:ser>
          <c:idx val="0"/>
          <c:order val="0"/>
          <c:tx>
            <c:strRef>
              <c:f>'Water Quality'!$C$3</c:f>
              <c:strCache>
                <c:ptCount val="1"/>
                <c:pt idx="0">
                  <c:v>WQI (0-100)</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'Water Quality'!$A$4:$A$18</c:f>
              <c:strCache>
                <c:ptCount val="15"/>
                <c:pt idx="0">
                  <c:v>Mumbai</c:v>
                </c:pt>
                <c:pt idx="1">
                  <c:v>Delhi</c:v>
                </c:pt>
                <c:pt idx="2">
                  <c:v>Bengaluru</c:v>
                </c:pt>
                <c:pt idx="3">
                  <c:v>Hyderabad</c:v>
                </c:pt>
                <c:pt idx="4">
                  <c:v>Chennai</c:v>
                </c:pt>
                <c:pt idx="5">
                  <c:v>Kolkata</c:v>
                </c:pt>
                <c:pt idx="6">
                  <c:v>Pune</c:v>
                </c:pt>
                <c:pt idx="7">
                  <c:v>Ahmedabad</c:v>
                </c:pt>
                <c:pt idx="8">
                  <c:v>Jaipur</c:v>
                </c:pt>
                <c:pt idx="9">
                  <c:v>Lucknow</c:v>
                </c:pt>
                <c:pt idx="10">
                  <c:v>Surat</c:v>
                </c:pt>
                <c:pt idx="11">
                  <c:v>Kochi</c:v>
                </c:pt>
                <c:pt idx="12">
                  <c:v>Chandigarh</c:v>
                </c:pt>
                <c:pt idx="13">
                  <c:v>Bhopal</c:v>
                </c:pt>
                <c:pt idx="14">
                  <c:v>Nagpur</c:v>
                </c:pt>
              </c:strCache>
            </c:strRef>
          </c:cat>
          <c:val>
            <c:numRef>
              <c:f>'Water Quality'!$C$4:$C$18</c:f>
              <c:numCache>
                <c:formatCode>General</c:formatCode>
                <c:ptCount val="15"/>
                <c:pt idx="0">
                  <c:v>62</c:v>
                </c:pt>
                <c:pt idx="1">
                  <c:v>38</c:v>
                </c:pt>
                <c:pt idx="2">
                  <c:v>71</c:v>
                </c:pt>
                <c:pt idx="3">
                  <c:v>66</c:v>
                </c:pt>
                <c:pt idx="4">
                  <c:v>58</c:v>
                </c:pt>
                <c:pt idx="5">
                  <c:v>44</c:v>
                </c:pt>
                <c:pt idx="6">
                  <c:v>69</c:v>
                </c:pt>
                <c:pt idx="7">
                  <c:v>52</c:v>
                </c:pt>
                <c:pt idx="8">
                  <c:v>48</c:v>
                </c:pt>
                <c:pt idx="9">
                  <c:v>41</c:v>
                </c:pt>
                <c:pt idx="10">
                  <c:v>61</c:v>
                </c:pt>
                <c:pt idx="11">
                  <c:v>78</c:v>
                </c:pt>
                <c:pt idx="12">
                  <c:v>82</c:v>
                </c:pt>
                <c:pt idx="13">
                  <c:v>65</c:v>
                </c:pt>
                <c:pt idx="14">
                  <c:v>67</c:v>
                </c:pt>
              </c:numCache>
            </c:numRef>
          </c:val>
          <c:extLst>
            <c:ext xmlns:c16="http://schemas.microsoft.com/office/drawing/2014/chart" uri="{C3380CC4-5D6E-409C-BE32-E72D297353CC}">
              <c16:uniqueId val="{00000000-BBE4-482A-BF8E-451C131CE87E}"/>
            </c:ext>
          </c:extLst>
        </c:ser>
        <c:dLbls>
          <c:showLegendKey val="0"/>
          <c:showVal val="0"/>
          <c:showCatName val="0"/>
          <c:showSerName val="0"/>
          <c:showPercent val="0"/>
          <c:showBubbleSize val="0"/>
        </c:dLbls>
        <c:gapWidth val="150"/>
        <c:axId val="43030245"/>
        <c:axId val="37905664"/>
      </c:barChart>
      <c:catAx>
        <c:axId val="43030245"/>
        <c:scaling>
          <c:orientation val="minMax"/>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WQI</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7905664"/>
        <c:crosses val="autoZero"/>
        <c:auto val="1"/>
        <c:lblAlgn val="ctr"/>
        <c:lblOffset val="100"/>
        <c:noMultiLvlLbl val="0"/>
      </c:catAx>
      <c:valAx>
        <c:axId val="37905664"/>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City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03024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Average Noise Level by City dB (Lower is Better)</a:t>
            </a:r>
          </a:p>
        </c:rich>
      </c:tx>
      <c:overlay val="0"/>
      <c:spPr>
        <a:noFill/>
        <a:ln w="0">
          <a:noFill/>
        </a:ln>
      </c:spPr>
    </c:title>
    <c:autoTitleDeleted val="0"/>
    <c:plotArea>
      <c:layout/>
      <c:barChart>
        <c:barDir val="col"/>
        <c:grouping val="clustered"/>
        <c:varyColors val="0"/>
        <c:ser>
          <c:idx val="0"/>
          <c:order val="0"/>
          <c:tx>
            <c:strRef>
              <c:f>'Noise Pollution'!$C$3</c:f>
              <c:strCache>
                <c:ptCount val="1"/>
                <c:pt idx="0">
                  <c:v>Avg Noise (dB)</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'Noise Pollution'!$A$4:$A$18</c:f>
              <c:strCache>
                <c:ptCount val="15"/>
                <c:pt idx="0">
                  <c:v>Mumbai</c:v>
                </c:pt>
                <c:pt idx="1">
                  <c:v>Delhi</c:v>
                </c:pt>
                <c:pt idx="2">
                  <c:v>Bengaluru</c:v>
                </c:pt>
                <c:pt idx="3">
                  <c:v>Hyderabad</c:v>
                </c:pt>
                <c:pt idx="4">
                  <c:v>Chennai</c:v>
                </c:pt>
                <c:pt idx="5">
                  <c:v>Kolkata</c:v>
                </c:pt>
                <c:pt idx="6">
                  <c:v>Pune</c:v>
                </c:pt>
                <c:pt idx="7">
                  <c:v>Ahmedabad</c:v>
                </c:pt>
                <c:pt idx="8">
                  <c:v>Jaipur</c:v>
                </c:pt>
                <c:pt idx="9">
                  <c:v>Lucknow</c:v>
                </c:pt>
                <c:pt idx="10">
                  <c:v>Surat</c:v>
                </c:pt>
                <c:pt idx="11">
                  <c:v>Kochi</c:v>
                </c:pt>
                <c:pt idx="12">
                  <c:v>Chandigarh</c:v>
                </c:pt>
                <c:pt idx="13">
                  <c:v>Bhopal</c:v>
                </c:pt>
                <c:pt idx="14">
                  <c:v>Nagpur</c:v>
                </c:pt>
              </c:strCache>
            </c:strRef>
          </c:cat>
          <c:val>
            <c:numRef>
              <c:f>'Noise Pollution'!$C$4:$C$18</c:f>
              <c:numCache>
                <c:formatCode>0</c:formatCode>
                <c:ptCount val="15"/>
                <c:pt idx="0">
                  <c:v>72</c:v>
                </c:pt>
                <c:pt idx="1">
                  <c:v>85</c:v>
                </c:pt>
                <c:pt idx="2">
                  <c:v>65</c:v>
                </c:pt>
                <c:pt idx="3">
                  <c:v>68</c:v>
                </c:pt>
                <c:pt idx="4">
                  <c:v>70</c:v>
                </c:pt>
                <c:pt idx="5">
                  <c:v>78</c:v>
                </c:pt>
                <c:pt idx="6">
                  <c:v>67</c:v>
                </c:pt>
                <c:pt idx="7">
                  <c:v>74</c:v>
                </c:pt>
                <c:pt idx="8">
                  <c:v>76</c:v>
                </c:pt>
                <c:pt idx="9">
                  <c:v>80</c:v>
                </c:pt>
                <c:pt idx="10">
                  <c:v>69</c:v>
                </c:pt>
                <c:pt idx="11">
                  <c:v>61</c:v>
                </c:pt>
                <c:pt idx="12">
                  <c:v>58</c:v>
                </c:pt>
                <c:pt idx="13">
                  <c:v>66</c:v>
                </c:pt>
                <c:pt idx="14">
                  <c:v>64</c:v>
                </c:pt>
              </c:numCache>
            </c:numRef>
          </c:val>
          <c:extLst>
            <c:ext xmlns:c16="http://schemas.microsoft.com/office/drawing/2014/chart" uri="{C3380CC4-5D6E-409C-BE32-E72D297353CC}">
              <c16:uniqueId val="{00000000-6F38-437B-8DB2-F838C9C3292C}"/>
            </c:ext>
          </c:extLst>
        </c:ser>
        <c:dLbls>
          <c:showLegendKey val="0"/>
          <c:showVal val="0"/>
          <c:showCatName val="0"/>
          <c:showSerName val="0"/>
          <c:showPercent val="0"/>
          <c:showBubbleSize val="0"/>
        </c:dLbls>
        <c:gapWidth val="150"/>
        <c:axId val="18763115"/>
        <c:axId val="46685966"/>
      </c:barChart>
      <c:catAx>
        <c:axId val="1876311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6685966"/>
        <c:crosses val="autoZero"/>
        <c:auto val="1"/>
        <c:lblAlgn val="ctr"/>
        <c:lblOffset val="100"/>
        <c:noMultiLvlLbl val="0"/>
      </c:catAx>
      <c:valAx>
        <c:axId val="4668596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Noise (dB)</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876311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Waste Collection Coverage % by City</a:t>
            </a:r>
          </a:p>
        </c:rich>
      </c:tx>
      <c:overlay val="0"/>
      <c:spPr>
        <a:noFill/>
        <a:ln w="0">
          <a:noFill/>
        </a:ln>
      </c:spPr>
    </c:title>
    <c:autoTitleDeleted val="0"/>
    <c:plotArea>
      <c:layout/>
      <c:barChart>
        <c:barDir val="bar"/>
        <c:grouping val="clustered"/>
        <c:varyColors val="0"/>
        <c:ser>
          <c:idx val="0"/>
          <c:order val="0"/>
          <c:tx>
            <c:strRef>
              <c:f>'Waste Management'!$C$3</c:f>
              <c:strCache>
                <c:ptCount val="1"/>
                <c:pt idx="0">
                  <c:v>Collection Coverage %</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'Waste Management'!$A$4:$A$18</c:f>
              <c:strCache>
                <c:ptCount val="15"/>
                <c:pt idx="0">
                  <c:v>Mumbai</c:v>
                </c:pt>
                <c:pt idx="1">
                  <c:v>Delhi</c:v>
                </c:pt>
                <c:pt idx="2">
                  <c:v>Bengaluru</c:v>
                </c:pt>
                <c:pt idx="3">
                  <c:v>Hyderabad</c:v>
                </c:pt>
                <c:pt idx="4">
                  <c:v>Chennai</c:v>
                </c:pt>
                <c:pt idx="5">
                  <c:v>Kolkata</c:v>
                </c:pt>
                <c:pt idx="6">
                  <c:v>Pune</c:v>
                </c:pt>
                <c:pt idx="7">
                  <c:v>Ahmedabad</c:v>
                </c:pt>
                <c:pt idx="8">
                  <c:v>Jaipur</c:v>
                </c:pt>
                <c:pt idx="9">
                  <c:v>Lucknow</c:v>
                </c:pt>
                <c:pt idx="10">
                  <c:v>Surat</c:v>
                </c:pt>
                <c:pt idx="11">
                  <c:v>Kochi</c:v>
                </c:pt>
                <c:pt idx="12">
                  <c:v>Chandigarh</c:v>
                </c:pt>
                <c:pt idx="13">
                  <c:v>Bhopal</c:v>
                </c:pt>
                <c:pt idx="14">
                  <c:v>Nagpur</c:v>
                </c:pt>
              </c:strCache>
            </c:strRef>
          </c:cat>
          <c:val>
            <c:numRef>
              <c:f>'Waste Management'!$C$4:$C$18</c:f>
              <c:numCache>
                <c:formatCode>0%</c:formatCode>
                <c:ptCount val="15"/>
                <c:pt idx="0">
                  <c:v>0.68</c:v>
                </c:pt>
                <c:pt idx="1">
                  <c:v>0.42</c:v>
                </c:pt>
                <c:pt idx="2">
                  <c:v>0.74</c:v>
                </c:pt>
                <c:pt idx="3">
                  <c:v>0.71</c:v>
                </c:pt>
                <c:pt idx="4">
                  <c:v>0.69</c:v>
                </c:pt>
                <c:pt idx="5">
                  <c:v>0.51</c:v>
                </c:pt>
                <c:pt idx="6">
                  <c:v>0.73</c:v>
                </c:pt>
                <c:pt idx="7">
                  <c:v>0.62</c:v>
                </c:pt>
                <c:pt idx="8">
                  <c:v>0.55000000000000004</c:v>
                </c:pt>
                <c:pt idx="9">
                  <c:v>0.47</c:v>
                </c:pt>
                <c:pt idx="10">
                  <c:v>0.76</c:v>
                </c:pt>
                <c:pt idx="11">
                  <c:v>0.79</c:v>
                </c:pt>
                <c:pt idx="12">
                  <c:v>0.84</c:v>
                </c:pt>
                <c:pt idx="13">
                  <c:v>0.67</c:v>
                </c:pt>
                <c:pt idx="14">
                  <c:v>0.7</c:v>
                </c:pt>
              </c:numCache>
            </c:numRef>
          </c:val>
          <c:extLst>
            <c:ext xmlns:c16="http://schemas.microsoft.com/office/drawing/2014/chart" uri="{C3380CC4-5D6E-409C-BE32-E72D297353CC}">
              <c16:uniqueId val="{00000000-9D3D-43D9-AF47-33847E16C195}"/>
            </c:ext>
          </c:extLst>
        </c:ser>
        <c:dLbls>
          <c:showLegendKey val="0"/>
          <c:showVal val="0"/>
          <c:showCatName val="0"/>
          <c:showSerName val="0"/>
          <c:showPercent val="0"/>
          <c:showBubbleSize val="0"/>
        </c:dLbls>
        <c:gapWidth val="150"/>
        <c:axId val="73699031"/>
        <c:axId val="30218007"/>
      </c:barChart>
      <c:catAx>
        <c:axId val="73699031"/>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0218007"/>
        <c:crosses val="autoZero"/>
        <c:auto val="1"/>
        <c:lblAlgn val="ctr"/>
        <c:lblOffset val="100"/>
        <c:noMultiLvlLbl val="0"/>
      </c:catAx>
      <c:valAx>
        <c:axId val="30218007"/>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City</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369903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 data analysis.xlsx]Sheet11!PivotTable10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a:t>
            </a:r>
            <a:r>
              <a:rPr lang="en-IN" baseline="0"/>
              <a:t> and Overall Risk</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Sheet11!$B$3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2A-44BC-B84C-389AD1930D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2A-44BC-B84C-389AD1930D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2A-44BC-B84C-389AD1930D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2A-44BC-B84C-389AD1930DA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62A-44BC-B84C-389AD1930DA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62A-44BC-B84C-389AD1930DA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62A-44BC-B84C-389AD1930DA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62A-44BC-B84C-389AD1930DA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62A-44BC-B84C-389AD1930DA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62A-44BC-B84C-389AD1930DA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62A-44BC-B84C-389AD1930DA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62A-44BC-B84C-389AD1930DA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62A-44BC-B84C-389AD1930DA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62A-44BC-B84C-389AD1930DA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62A-44BC-B84C-389AD1930DA7}"/>
              </c:ext>
            </c:extLst>
          </c:dPt>
          <c:cat>
            <c:strRef>
              <c:f>Sheet11!$A$4:$A$19</c:f>
              <c:strCache>
                <c:ptCount val="15"/>
                <c:pt idx="0">
                  <c:v>Ahmedabad</c:v>
                </c:pt>
                <c:pt idx="1">
                  <c:v>Bengaluru</c:v>
                </c:pt>
                <c:pt idx="2">
                  <c:v>Bhopal</c:v>
                </c:pt>
                <c:pt idx="3">
                  <c:v>Chandigarh</c:v>
                </c:pt>
                <c:pt idx="4">
                  <c:v>Chennai</c:v>
                </c:pt>
                <c:pt idx="5">
                  <c:v>Delhi</c:v>
                </c:pt>
                <c:pt idx="6">
                  <c:v>Hyderabad</c:v>
                </c:pt>
                <c:pt idx="7">
                  <c:v>Jaipur</c:v>
                </c:pt>
                <c:pt idx="8">
                  <c:v>Kochi</c:v>
                </c:pt>
                <c:pt idx="9">
                  <c:v>Kolkata</c:v>
                </c:pt>
                <c:pt idx="10">
                  <c:v>Lucknow</c:v>
                </c:pt>
                <c:pt idx="11">
                  <c:v>Mumbai</c:v>
                </c:pt>
                <c:pt idx="12">
                  <c:v>Nagpur</c:v>
                </c:pt>
                <c:pt idx="13">
                  <c:v>Pune</c:v>
                </c:pt>
                <c:pt idx="14">
                  <c:v>Surat</c:v>
                </c:pt>
              </c:strCache>
            </c:strRef>
          </c:cat>
          <c:val>
            <c:numRef>
              <c:f>Sheet11!$B$4:$B$19</c:f>
              <c:numCache>
                <c:formatCode>General</c:formatCode>
                <c:ptCount val="15"/>
                <c:pt idx="0">
                  <c:v>4.9000000000000004</c:v>
                </c:pt>
                <c:pt idx="1">
                  <c:v>3.4</c:v>
                </c:pt>
                <c:pt idx="2">
                  <c:v>3.6</c:v>
                </c:pt>
                <c:pt idx="3">
                  <c:v>2.9</c:v>
                </c:pt>
                <c:pt idx="4">
                  <c:v>6.8</c:v>
                </c:pt>
                <c:pt idx="5">
                  <c:v>5.8</c:v>
                </c:pt>
                <c:pt idx="6">
                  <c:v>4.0999999999999996</c:v>
                </c:pt>
                <c:pt idx="7">
                  <c:v>4.2</c:v>
                </c:pt>
                <c:pt idx="8">
                  <c:v>7.8</c:v>
                </c:pt>
                <c:pt idx="9">
                  <c:v>6.5</c:v>
                </c:pt>
                <c:pt idx="10">
                  <c:v>4.4000000000000004</c:v>
                </c:pt>
                <c:pt idx="11">
                  <c:v>7.2</c:v>
                </c:pt>
                <c:pt idx="12">
                  <c:v>3.3</c:v>
                </c:pt>
                <c:pt idx="13">
                  <c:v>3.8</c:v>
                </c:pt>
                <c:pt idx="14">
                  <c:v>5.0999999999999996</c:v>
                </c:pt>
              </c:numCache>
            </c:numRef>
          </c:val>
          <c:extLst>
            <c:ext xmlns:c16="http://schemas.microsoft.com/office/drawing/2014/chart" uri="{C3380CC4-5D6E-409C-BE32-E72D297353CC}">
              <c16:uniqueId val="{00000000-2FDB-4208-8AA0-D5FCE9EB1E7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Disaster Risk Score by City (Lower is Better)</a:t>
            </a:r>
          </a:p>
        </c:rich>
      </c:tx>
      <c:overlay val="0"/>
      <c:spPr>
        <a:noFill/>
        <a:ln w="0">
          <a:noFill/>
        </a:ln>
      </c:spPr>
    </c:title>
    <c:autoTitleDeleted val="0"/>
    <c:plotArea>
      <c:layout/>
      <c:barChart>
        <c:barDir val="col"/>
        <c:grouping val="clustered"/>
        <c:varyColors val="0"/>
        <c:ser>
          <c:idx val="0"/>
          <c:order val="0"/>
          <c:tx>
            <c:strRef>
              <c:f>'Disaster Risk'!$C$3</c:f>
              <c:strCache>
                <c:ptCount val="1"/>
                <c:pt idx="0">
                  <c:v>Overall Risk (1-10)</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'Disaster Risk'!$A$4:$A$18</c:f>
              <c:strCache>
                <c:ptCount val="15"/>
                <c:pt idx="0">
                  <c:v>Mumbai</c:v>
                </c:pt>
                <c:pt idx="1">
                  <c:v>Delhi</c:v>
                </c:pt>
                <c:pt idx="2">
                  <c:v>Bengaluru</c:v>
                </c:pt>
                <c:pt idx="3">
                  <c:v>Hyderabad</c:v>
                </c:pt>
                <c:pt idx="4">
                  <c:v>Chennai</c:v>
                </c:pt>
                <c:pt idx="5">
                  <c:v>Kolkata</c:v>
                </c:pt>
                <c:pt idx="6">
                  <c:v>Pune</c:v>
                </c:pt>
                <c:pt idx="7">
                  <c:v>Ahmedabad</c:v>
                </c:pt>
                <c:pt idx="8">
                  <c:v>Jaipur</c:v>
                </c:pt>
                <c:pt idx="9">
                  <c:v>Lucknow</c:v>
                </c:pt>
                <c:pt idx="10">
                  <c:v>Surat</c:v>
                </c:pt>
                <c:pt idx="11">
                  <c:v>Kochi</c:v>
                </c:pt>
                <c:pt idx="12">
                  <c:v>Chandigarh</c:v>
                </c:pt>
                <c:pt idx="13">
                  <c:v>Bhopal</c:v>
                </c:pt>
                <c:pt idx="14">
                  <c:v>Nagpur</c:v>
                </c:pt>
              </c:strCache>
            </c:strRef>
          </c:cat>
          <c:val>
            <c:numRef>
              <c:f>'Disaster Risk'!$C$4:$C$18</c:f>
              <c:numCache>
                <c:formatCode>0.0</c:formatCode>
                <c:ptCount val="15"/>
                <c:pt idx="0">
                  <c:v>7.2</c:v>
                </c:pt>
                <c:pt idx="1">
                  <c:v>5.8</c:v>
                </c:pt>
                <c:pt idx="2">
                  <c:v>3.4</c:v>
                </c:pt>
                <c:pt idx="3">
                  <c:v>4.0999999999999996</c:v>
                </c:pt>
                <c:pt idx="4">
                  <c:v>6.8</c:v>
                </c:pt>
                <c:pt idx="5">
                  <c:v>6.5</c:v>
                </c:pt>
                <c:pt idx="6">
                  <c:v>3.8</c:v>
                </c:pt>
                <c:pt idx="7">
                  <c:v>4.9000000000000004</c:v>
                </c:pt>
                <c:pt idx="8">
                  <c:v>4.2</c:v>
                </c:pt>
                <c:pt idx="9">
                  <c:v>4.4000000000000004</c:v>
                </c:pt>
                <c:pt idx="10">
                  <c:v>5.0999999999999996</c:v>
                </c:pt>
                <c:pt idx="11">
                  <c:v>7.8</c:v>
                </c:pt>
                <c:pt idx="12">
                  <c:v>2.9</c:v>
                </c:pt>
                <c:pt idx="13">
                  <c:v>3.6</c:v>
                </c:pt>
                <c:pt idx="14">
                  <c:v>3.3</c:v>
                </c:pt>
              </c:numCache>
            </c:numRef>
          </c:val>
          <c:extLst>
            <c:ext xmlns:c16="http://schemas.microsoft.com/office/drawing/2014/chart" uri="{C3380CC4-5D6E-409C-BE32-E72D297353CC}">
              <c16:uniqueId val="{00000000-72BA-439A-BB63-930D09462811}"/>
            </c:ext>
          </c:extLst>
        </c:ser>
        <c:dLbls>
          <c:showLegendKey val="0"/>
          <c:showVal val="0"/>
          <c:showCatName val="0"/>
          <c:showSerName val="0"/>
          <c:showPercent val="0"/>
          <c:showBubbleSize val="0"/>
        </c:dLbls>
        <c:gapWidth val="150"/>
        <c:axId val="51924275"/>
        <c:axId val="80490274"/>
      </c:barChart>
      <c:catAx>
        <c:axId val="5192427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0490274"/>
        <c:crosses val="autoZero"/>
        <c:auto val="1"/>
        <c:lblAlgn val="ctr"/>
        <c:lblOffset val="100"/>
        <c:noMultiLvlLbl val="0"/>
      </c:catAx>
      <c:valAx>
        <c:axId val="8049027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Risk (1-10)</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192427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Overall Environmental Score by City (Out of 10)</a:t>
            </a:r>
          </a:p>
        </c:rich>
      </c:tx>
      <c:overlay val="0"/>
      <c:spPr>
        <a:noFill/>
        <a:ln w="0">
          <a:noFill/>
        </a:ln>
      </c:spPr>
    </c:title>
    <c:autoTitleDeleted val="0"/>
    <c:plotArea>
      <c:layout/>
      <c:barChart>
        <c:barDir val="bar"/>
        <c:grouping val="clustered"/>
        <c:varyColors val="0"/>
        <c:ser>
          <c:idx val="0"/>
          <c:order val="0"/>
          <c:tx>
            <c:strRef>
              <c:f>'🏆 Best City Ranking'!$I$6</c:f>
              <c:strCache>
                <c:ptCount val="1"/>
                <c:pt idx="0">
                  <c:v>Overall Score
(/10)</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 Best City Ranking'!$B$7:$B$21</c:f>
              <c:strCache>
                <c:ptCount val="15"/>
                <c:pt idx="0">
                  <c:v>Chandigarh</c:v>
                </c:pt>
                <c:pt idx="1">
                  <c:v>Bengaluru</c:v>
                </c:pt>
                <c:pt idx="2">
                  <c:v>Nagpur</c:v>
                </c:pt>
                <c:pt idx="3">
                  <c:v>Pune</c:v>
                </c:pt>
                <c:pt idx="4">
                  <c:v>Kochi</c:v>
                </c:pt>
                <c:pt idx="5">
                  <c:v>Bhopal</c:v>
                </c:pt>
                <c:pt idx="6">
                  <c:v>Hyderabad</c:v>
                </c:pt>
                <c:pt idx="7">
                  <c:v>Surat</c:v>
                </c:pt>
                <c:pt idx="8">
                  <c:v>Chennai</c:v>
                </c:pt>
                <c:pt idx="9">
                  <c:v>Mumbai</c:v>
                </c:pt>
                <c:pt idx="10">
                  <c:v>Ahmedabad</c:v>
                </c:pt>
                <c:pt idx="11">
                  <c:v>Jaipur</c:v>
                </c:pt>
                <c:pt idx="12">
                  <c:v>Kolkata</c:v>
                </c:pt>
                <c:pt idx="13">
                  <c:v>Lucknow</c:v>
                </c:pt>
                <c:pt idx="14">
                  <c:v>Delhi</c:v>
                </c:pt>
              </c:strCache>
            </c:strRef>
          </c:cat>
          <c:val>
            <c:numRef>
              <c:f>'🏆 Best City Ranking'!$I$7:$I$21</c:f>
              <c:numCache>
                <c:formatCode>0.00</c:formatCode>
                <c:ptCount val="15"/>
                <c:pt idx="0">
                  <c:v>8.15</c:v>
                </c:pt>
                <c:pt idx="1">
                  <c:v>7.32</c:v>
                </c:pt>
                <c:pt idx="2">
                  <c:v>7.09</c:v>
                </c:pt>
                <c:pt idx="3">
                  <c:v>7.07</c:v>
                </c:pt>
                <c:pt idx="4">
                  <c:v>6.88</c:v>
                </c:pt>
                <c:pt idx="5">
                  <c:v>6.84</c:v>
                </c:pt>
                <c:pt idx="6">
                  <c:v>6.83</c:v>
                </c:pt>
                <c:pt idx="7">
                  <c:v>6.47</c:v>
                </c:pt>
                <c:pt idx="8">
                  <c:v>6.08</c:v>
                </c:pt>
                <c:pt idx="9">
                  <c:v>5.75</c:v>
                </c:pt>
                <c:pt idx="10">
                  <c:v>5.68</c:v>
                </c:pt>
                <c:pt idx="11">
                  <c:v>5.46</c:v>
                </c:pt>
                <c:pt idx="12">
                  <c:v>4.76</c:v>
                </c:pt>
                <c:pt idx="13">
                  <c:v>4.7300000000000004</c:v>
                </c:pt>
                <c:pt idx="14">
                  <c:v>3.84</c:v>
                </c:pt>
              </c:numCache>
            </c:numRef>
          </c:val>
          <c:extLst>
            <c:ext xmlns:c16="http://schemas.microsoft.com/office/drawing/2014/chart" uri="{C3380CC4-5D6E-409C-BE32-E72D297353CC}">
              <c16:uniqueId val="{00000000-64AC-4D1E-B722-585F9A1FA569}"/>
            </c:ext>
          </c:extLst>
        </c:ser>
        <c:dLbls>
          <c:showLegendKey val="0"/>
          <c:showVal val="0"/>
          <c:showCatName val="0"/>
          <c:showSerName val="0"/>
          <c:showPercent val="0"/>
          <c:showBubbleSize val="0"/>
        </c:dLbls>
        <c:gapWidth val="150"/>
        <c:axId val="78980493"/>
        <c:axId val="16800286"/>
      </c:barChart>
      <c:catAx>
        <c:axId val="78980493"/>
        <c:scaling>
          <c:orientation val="minMax"/>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6800286"/>
        <c:crosses val="autoZero"/>
        <c:auto val="1"/>
        <c:lblAlgn val="ctr"/>
        <c:lblOffset val="100"/>
        <c:noMultiLvlLbl val="0"/>
      </c:catAx>
      <c:valAx>
        <c:axId val="16800286"/>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City</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898049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 data analysis.xlsx]Sheet3!PivotTable2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Sheet3!$A$4:$A$19</c:f>
              <c:strCache>
                <c:ptCount val="15"/>
                <c:pt idx="0">
                  <c:v>Ahmedabad</c:v>
                </c:pt>
                <c:pt idx="1">
                  <c:v>Bengaluru</c:v>
                </c:pt>
                <c:pt idx="2">
                  <c:v>Bhopal</c:v>
                </c:pt>
                <c:pt idx="3">
                  <c:v>Chandigarh</c:v>
                </c:pt>
                <c:pt idx="4">
                  <c:v>Chennai</c:v>
                </c:pt>
                <c:pt idx="5">
                  <c:v>Delhi</c:v>
                </c:pt>
                <c:pt idx="6">
                  <c:v>Hyderabad</c:v>
                </c:pt>
                <c:pt idx="7">
                  <c:v>Jaipur</c:v>
                </c:pt>
                <c:pt idx="8">
                  <c:v>Kochi</c:v>
                </c:pt>
                <c:pt idx="9">
                  <c:v>Kolkata</c:v>
                </c:pt>
                <c:pt idx="10">
                  <c:v>Lucknow</c:v>
                </c:pt>
                <c:pt idx="11">
                  <c:v>Mumbai</c:v>
                </c:pt>
                <c:pt idx="12">
                  <c:v>Nagpur</c:v>
                </c:pt>
                <c:pt idx="13">
                  <c:v>Pune</c:v>
                </c:pt>
                <c:pt idx="14">
                  <c:v>Surat</c:v>
                </c:pt>
              </c:strCache>
            </c:strRef>
          </c:cat>
          <c:val>
            <c:numRef>
              <c:f>Sheet3!$B$4:$B$19</c:f>
              <c:numCache>
                <c:formatCode>General</c:formatCode>
                <c:ptCount val="15"/>
                <c:pt idx="0">
                  <c:v>178</c:v>
                </c:pt>
                <c:pt idx="1">
                  <c:v>89</c:v>
                </c:pt>
                <c:pt idx="2">
                  <c:v>121</c:v>
                </c:pt>
                <c:pt idx="3">
                  <c:v>68</c:v>
                </c:pt>
                <c:pt idx="4">
                  <c:v>98</c:v>
                </c:pt>
                <c:pt idx="5">
                  <c:v>312</c:v>
                </c:pt>
                <c:pt idx="6">
                  <c:v>112</c:v>
                </c:pt>
                <c:pt idx="7">
                  <c:v>195</c:v>
                </c:pt>
                <c:pt idx="8">
                  <c:v>75</c:v>
                </c:pt>
                <c:pt idx="9">
                  <c:v>201</c:v>
                </c:pt>
                <c:pt idx="10">
                  <c:v>248</c:v>
                </c:pt>
                <c:pt idx="11">
                  <c:v>148</c:v>
                </c:pt>
                <c:pt idx="12">
                  <c:v>115</c:v>
                </c:pt>
                <c:pt idx="13">
                  <c:v>102</c:v>
                </c:pt>
                <c:pt idx="14">
                  <c:v>134</c:v>
                </c:pt>
              </c:numCache>
            </c:numRef>
          </c:val>
          <c:extLst>
            <c:ext xmlns:c16="http://schemas.microsoft.com/office/drawing/2014/chart" uri="{C3380CC4-5D6E-409C-BE32-E72D297353CC}">
              <c16:uniqueId val="{00000000-711F-421A-B66D-B9B5D073C1D5}"/>
            </c:ext>
          </c:extLst>
        </c:ser>
        <c:dLbls>
          <c:showLegendKey val="0"/>
          <c:showVal val="0"/>
          <c:showCatName val="0"/>
          <c:showSerName val="0"/>
          <c:showPercent val="0"/>
          <c:showBubbleSize val="0"/>
        </c:dLbls>
        <c:gapWidth val="219"/>
        <c:overlap val="-27"/>
        <c:axId val="40403888"/>
        <c:axId val="40405552"/>
      </c:barChart>
      <c:catAx>
        <c:axId val="4040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05552"/>
        <c:crosses val="autoZero"/>
        <c:auto val="1"/>
        <c:lblAlgn val="ctr"/>
        <c:lblOffset val="100"/>
        <c:noMultiLvlLbl val="0"/>
      </c:catAx>
      <c:valAx>
        <c:axId val="40405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0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[Environment data analysis.xlsx]Sheet1!PivotTable1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vs AQI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Sheet1!$A$4:$A$19</c:f>
              <c:strCache>
                <c:ptCount val="15"/>
                <c:pt idx="0">
                  <c:v>Ahmedabad</c:v>
                </c:pt>
                <c:pt idx="1">
                  <c:v>Bengaluru</c:v>
                </c:pt>
                <c:pt idx="2">
                  <c:v>Bhopal</c:v>
                </c:pt>
                <c:pt idx="3">
                  <c:v>Chandigarh</c:v>
                </c:pt>
                <c:pt idx="4">
                  <c:v>Chennai</c:v>
                </c:pt>
                <c:pt idx="5">
                  <c:v>Delhi</c:v>
                </c:pt>
                <c:pt idx="6">
                  <c:v>Hyderabad</c:v>
                </c:pt>
                <c:pt idx="7">
                  <c:v>Jaipur</c:v>
                </c:pt>
                <c:pt idx="8">
                  <c:v>Kochi</c:v>
                </c:pt>
                <c:pt idx="9">
                  <c:v>Kolkata</c:v>
                </c:pt>
                <c:pt idx="10">
                  <c:v>Lucknow</c:v>
                </c:pt>
                <c:pt idx="11">
                  <c:v>Mumbai</c:v>
                </c:pt>
                <c:pt idx="12">
                  <c:v>Nagpur</c:v>
                </c:pt>
                <c:pt idx="13">
                  <c:v>Pune</c:v>
                </c:pt>
                <c:pt idx="14">
                  <c:v>Surat</c:v>
                </c:pt>
              </c:strCache>
            </c:strRef>
          </c:cat>
          <c:val>
            <c:numRef>
              <c:f>Sheet1!$B$4:$B$19</c:f>
              <c:numCache>
                <c:formatCode>General</c:formatCode>
                <c:ptCount val="15"/>
                <c:pt idx="0">
                  <c:v>178</c:v>
                </c:pt>
                <c:pt idx="1">
                  <c:v>89</c:v>
                </c:pt>
                <c:pt idx="2">
                  <c:v>121</c:v>
                </c:pt>
                <c:pt idx="3">
                  <c:v>68</c:v>
                </c:pt>
                <c:pt idx="4">
                  <c:v>98</c:v>
                </c:pt>
                <c:pt idx="5">
                  <c:v>312</c:v>
                </c:pt>
                <c:pt idx="6">
                  <c:v>112</c:v>
                </c:pt>
                <c:pt idx="7">
                  <c:v>195</c:v>
                </c:pt>
                <c:pt idx="8">
                  <c:v>75</c:v>
                </c:pt>
                <c:pt idx="9">
                  <c:v>201</c:v>
                </c:pt>
                <c:pt idx="10">
                  <c:v>248</c:v>
                </c:pt>
                <c:pt idx="11">
                  <c:v>148</c:v>
                </c:pt>
                <c:pt idx="12">
                  <c:v>115</c:v>
                </c:pt>
                <c:pt idx="13">
                  <c:v>102</c:v>
                </c:pt>
                <c:pt idx="14">
                  <c:v>134</c:v>
                </c:pt>
              </c:numCache>
            </c:numRef>
          </c:val>
          <c:extLst>
            <c:ext xmlns:c16="http://schemas.microsoft.com/office/drawing/2014/chart" uri="{C3380CC4-5D6E-409C-BE32-E72D297353CC}">
              <c16:uniqueId val="{00000000-B57E-424E-BDD2-5A619ACAE780}"/>
            </c:ext>
          </c:extLst>
        </c:ser>
        <c:dLbls>
          <c:dLblPos val="outEnd"/>
          <c:showLegendKey val="0"/>
          <c:showVal val="1"/>
          <c:showCatName val="0"/>
          <c:showSerName val="0"/>
          <c:showPercent val="0"/>
          <c:showBubbleSize val="0"/>
        </c:dLbls>
        <c:gapWidth val="182"/>
        <c:axId val="423286704"/>
        <c:axId val="545707744"/>
      </c:barChart>
      <c:catAx>
        <c:axId val="42328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707744"/>
        <c:crosses val="autoZero"/>
        <c:auto val="1"/>
        <c:lblAlgn val="ctr"/>
        <c:lblOffset val="100"/>
        <c:noMultiLvlLbl val="0"/>
      </c:catAx>
      <c:valAx>
        <c:axId val="545707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28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5">
          <a:lumMod val="20000"/>
          <a:lumOff val="80000"/>
        </a:schemeClr>
      </a:solidFill>
      <a:round/>
    </a:ln>
    <a:effectLst>
      <a:glow rad="1397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[Environment data analysis.xlsx]Sheet4!PivotTable2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vs Water Quality Index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Sheet4!$B$3</c:f>
              <c:strCache>
                <c:ptCount val="1"/>
                <c:pt idx="0">
                  <c:v>Total</c:v>
                </c:pt>
              </c:strCache>
            </c:strRef>
          </c:tx>
          <c:spPr>
            <a:solidFill>
              <a:schemeClr val="accent1"/>
            </a:solidFill>
            <a:ln>
              <a:noFill/>
            </a:ln>
            <a:effectLst/>
            <a:scene3d>
              <a:camera prst="orthographicFront"/>
              <a:lightRig rig="threePt" dir="t"/>
            </a:scene3d>
            <a:sp3d>
              <a:bevelT w="165100" prst="coolSlan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Sheet4!$A$4:$A$19</c:f>
              <c:strCache>
                <c:ptCount val="15"/>
                <c:pt idx="0">
                  <c:v>Ahmedabad</c:v>
                </c:pt>
                <c:pt idx="1">
                  <c:v>Bengaluru</c:v>
                </c:pt>
                <c:pt idx="2">
                  <c:v>Bhopal</c:v>
                </c:pt>
                <c:pt idx="3">
                  <c:v>Chandigarh</c:v>
                </c:pt>
                <c:pt idx="4">
                  <c:v>Chennai</c:v>
                </c:pt>
                <c:pt idx="5">
                  <c:v>Delhi</c:v>
                </c:pt>
                <c:pt idx="6">
                  <c:v>Hyderabad</c:v>
                </c:pt>
                <c:pt idx="7">
                  <c:v>Jaipur</c:v>
                </c:pt>
                <c:pt idx="8">
                  <c:v>Kochi</c:v>
                </c:pt>
                <c:pt idx="9">
                  <c:v>Kolkata</c:v>
                </c:pt>
                <c:pt idx="10">
                  <c:v>Lucknow</c:v>
                </c:pt>
                <c:pt idx="11">
                  <c:v>Mumbai</c:v>
                </c:pt>
                <c:pt idx="12">
                  <c:v>Nagpur</c:v>
                </c:pt>
                <c:pt idx="13">
                  <c:v>Pune</c:v>
                </c:pt>
                <c:pt idx="14">
                  <c:v>Surat</c:v>
                </c:pt>
              </c:strCache>
            </c:strRef>
          </c:cat>
          <c:val>
            <c:numRef>
              <c:f>Sheet4!$B$4:$B$19</c:f>
              <c:numCache>
                <c:formatCode>General</c:formatCode>
                <c:ptCount val="15"/>
                <c:pt idx="0">
                  <c:v>52</c:v>
                </c:pt>
                <c:pt idx="1">
                  <c:v>71</c:v>
                </c:pt>
                <c:pt idx="2">
                  <c:v>65</c:v>
                </c:pt>
                <c:pt idx="3">
                  <c:v>82</c:v>
                </c:pt>
                <c:pt idx="4">
                  <c:v>58</c:v>
                </c:pt>
                <c:pt idx="5">
                  <c:v>38</c:v>
                </c:pt>
                <c:pt idx="6">
                  <c:v>66</c:v>
                </c:pt>
                <c:pt idx="7">
                  <c:v>48</c:v>
                </c:pt>
                <c:pt idx="8">
                  <c:v>78</c:v>
                </c:pt>
                <c:pt idx="9">
                  <c:v>44</c:v>
                </c:pt>
                <c:pt idx="10">
                  <c:v>41</c:v>
                </c:pt>
                <c:pt idx="11">
                  <c:v>62</c:v>
                </c:pt>
                <c:pt idx="12">
                  <c:v>67</c:v>
                </c:pt>
                <c:pt idx="13">
                  <c:v>69</c:v>
                </c:pt>
                <c:pt idx="14">
                  <c:v>61</c:v>
                </c:pt>
              </c:numCache>
            </c:numRef>
          </c:val>
          <c:extLst>
            <c:ext xmlns:c16="http://schemas.microsoft.com/office/drawing/2014/chart" uri="{C3380CC4-5D6E-409C-BE32-E72D297353CC}">
              <c16:uniqueId val="{00000000-28C4-487F-AF01-2649C49388B7}"/>
            </c:ext>
          </c:extLst>
        </c:ser>
        <c:dLbls>
          <c:showLegendKey val="0"/>
          <c:showVal val="1"/>
          <c:showCatName val="0"/>
          <c:showSerName val="0"/>
          <c:showPercent val="0"/>
          <c:showBubbleSize val="0"/>
        </c:dLbls>
        <c:axId val="551497824"/>
        <c:axId val="555538320"/>
      </c:areaChart>
      <c:catAx>
        <c:axId val="551497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538320"/>
        <c:crosses val="autoZero"/>
        <c:auto val="1"/>
        <c:lblAlgn val="ctr"/>
        <c:lblOffset val="100"/>
        <c:noMultiLvlLbl val="0"/>
      </c:catAx>
      <c:valAx>
        <c:axId val="55553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4978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a:glow rad="101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[Environment data analysis.xlsx]Sheet5!PivotTable6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Disaster</a:t>
            </a:r>
            <a:r>
              <a:rPr lang="en-IN" baseline="0"/>
              <a:t> Risk</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DF4-402E-A130-FA8426B136D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DF4-402E-A130-FA8426B136D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DF4-402E-A130-FA8426B136D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DF4-402E-A130-FA8426B136DA}"/>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Sheet5!$A$4:$A$8</c:f>
              <c:strCache>
                <c:ptCount val="4"/>
                <c:pt idx="0">
                  <c:v>High</c:v>
                </c:pt>
                <c:pt idx="1">
                  <c:v>Low</c:v>
                </c:pt>
                <c:pt idx="2">
                  <c:v>Moderate</c:v>
                </c:pt>
                <c:pt idx="3">
                  <c:v>Very High</c:v>
                </c:pt>
              </c:strCache>
            </c:strRef>
          </c:cat>
          <c:val>
            <c:numRef>
              <c:f>Sheet5!$B$4:$B$8</c:f>
              <c:numCache>
                <c:formatCode>General</c:formatCode>
                <c:ptCount val="4"/>
                <c:pt idx="0">
                  <c:v>24.200000000000003</c:v>
                </c:pt>
                <c:pt idx="1">
                  <c:v>2.9</c:v>
                </c:pt>
                <c:pt idx="2">
                  <c:v>31.700000000000006</c:v>
                </c:pt>
                <c:pt idx="3">
                  <c:v>15</c:v>
                </c:pt>
              </c:numCache>
            </c:numRef>
          </c:val>
          <c:extLst>
            <c:ext xmlns:c16="http://schemas.microsoft.com/office/drawing/2014/chart" uri="{C3380CC4-5D6E-409C-BE32-E72D297353CC}">
              <c16:uniqueId val="{00000000-FA59-4BBE-A881-E6C664C0D05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01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 data analysis.xlsx]Sheet6!PivotTable13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C6B-4413-8192-64763AD6018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C6B-4413-8192-64763AD6018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C6B-4413-8192-64763AD6018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C6B-4413-8192-64763AD6018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C6B-4413-8192-64763AD6018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FC6B-4413-8192-64763AD6018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FC6B-4413-8192-64763AD6018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FC6B-4413-8192-64763AD6018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FC6B-4413-8192-64763AD6018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FC6B-4413-8192-64763AD6018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FC6B-4413-8192-64763AD60187}"/>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FC6B-4413-8192-64763AD60187}"/>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FC6B-4413-8192-64763AD60187}"/>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FC6B-4413-8192-64763AD60187}"/>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FC6B-4413-8192-64763AD60187}"/>
              </c:ext>
            </c:extLst>
          </c:dPt>
          <c:cat>
            <c:multiLvlStrRef>
              <c:f>Sheet6!$A$4:$A$22</c:f>
              <c:multiLvlStrCache>
                <c:ptCount val="15"/>
                <c:lvl>
                  <c:pt idx="0">
                    <c:v>Bengaluru</c:v>
                  </c:pt>
                  <c:pt idx="1">
                    <c:v>Chandigarh</c:v>
                  </c:pt>
                  <c:pt idx="2">
                    <c:v>Kochi</c:v>
                  </c:pt>
                  <c:pt idx="3">
                    <c:v>Nagpur</c:v>
                  </c:pt>
                  <c:pt idx="4">
                    <c:v>Ahmedabad</c:v>
                  </c:pt>
                  <c:pt idx="5">
                    <c:v>Bhopal</c:v>
                  </c:pt>
                  <c:pt idx="6">
                    <c:v>Chennai</c:v>
                  </c:pt>
                  <c:pt idx="7">
                    <c:v>Hyderabad</c:v>
                  </c:pt>
                  <c:pt idx="8">
                    <c:v>Mumbai</c:v>
                  </c:pt>
                  <c:pt idx="9">
                    <c:v>Pune</c:v>
                  </c:pt>
                  <c:pt idx="10">
                    <c:v>Surat</c:v>
                  </c:pt>
                  <c:pt idx="11">
                    <c:v>Delhi</c:v>
                  </c:pt>
                  <c:pt idx="12">
                    <c:v>Jaipur</c:v>
                  </c:pt>
                  <c:pt idx="13">
                    <c:v>Kolkata</c:v>
                  </c:pt>
                  <c:pt idx="14">
                    <c:v>Lucknow</c:v>
                  </c:pt>
                </c:lvl>
                <c:lvl>
                  <c:pt idx="0">
                    <c:v>Acceptable</c:v>
                  </c:pt>
                  <c:pt idx="4">
                    <c:v>High</c:v>
                  </c:pt>
                  <c:pt idx="11">
                    <c:v>Very High</c:v>
                  </c:pt>
                </c:lvl>
              </c:multiLvlStrCache>
            </c:multiLvlStrRef>
          </c:cat>
          <c:val>
            <c:numRef>
              <c:f>Sheet6!$B$4:$B$22</c:f>
              <c:numCache>
                <c:formatCode>General</c:formatCode>
                <c:ptCount val="15"/>
                <c:pt idx="0">
                  <c:v>65</c:v>
                </c:pt>
                <c:pt idx="1">
                  <c:v>58</c:v>
                </c:pt>
                <c:pt idx="2">
                  <c:v>61</c:v>
                </c:pt>
                <c:pt idx="3">
                  <c:v>64</c:v>
                </c:pt>
                <c:pt idx="4">
                  <c:v>74</c:v>
                </c:pt>
                <c:pt idx="5">
                  <c:v>66</c:v>
                </c:pt>
                <c:pt idx="6">
                  <c:v>70</c:v>
                </c:pt>
                <c:pt idx="7">
                  <c:v>68</c:v>
                </c:pt>
                <c:pt idx="8">
                  <c:v>72</c:v>
                </c:pt>
                <c:pt idx="9">
                  <c:v>67</c:v>
                </c:pt>
                <c:pt idx="10">
                  <c:v>69</c:v>
                </c:pt>
                <c:pt idx="11">
                  <c:v>85</c:v>
                </c:pt>
                <c:pt idx="12">
                  <c:v>76</c:v>
                </c:pt>
                <c:pt idx="13">
                  <c:v>78</c:v>
                </c:pt>
                <c:pt idx="14">
                  <c:v>80</c:v>
                </c:pt>
              </c:numCache>
            </c:numRef>
          </c:val>
          <c:extLst>
            <c:ext xmlns:c16="http://schemas.microsoft.com/office/drawing/2014/chart" uri="{C3380CC4-5D6E-409C-BE32-E72D297353CC}">
              <c16:uniqueId val="{00000000-7F26-4CFF-9210-DF6D2003D1B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01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[Environment data analysis.xlsx]Sheet7!PivotTable14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vs Waste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prst="angle"/>
            </a:sp3d>
          </c:spPr>
        </c:marker>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prst="angle"/>
              </a:sp3d>
            </c:spPr>
          </c:marker>
          <c:cat>
            <c:strRef>
              <c:f>Sheet7!$A$4:$A$19</c:f>
              <c:strCache>
                <c:ptCount val="15"/>
                <c:pt idx="0">
                  <c:v>Ahmedabad</c:v>
                </c:pt>
                <c:pt idx="1">
                  <c:v>Bengaluru</c:v>
                </c:pt>
                <c:pt idx="2">
                  <c:v>Bhopal</c:v>
                </c:pt>
                <c:pt idx="3">
                  <c:v>Chandigarh</c:v>
                </c:pt>
                <c:pt idx="4">
                  <c:v>Chennai</c:v>
                </c:pt>
                <c:pt idx="5">
                  <c:v>Delhi</c:v>
                </c:pt>
                <c:pt idx="6">
                  <c:v>Hyderabad</c:v>
                </c:pt>
                <c:pt idx="7">
                  <c:v>Jaipur</c:v>
                </c:pt>
                <c:pt idx="8">
                  <c:v>Kochi</c:v>
                </c:pt>
                <c:pt idx="9">
                  <c:v>Kolkata</c:v>
                </c:pt>
                <c:pt idx="10">
                  <c:v>Lucknow</c:v>
                </c:pt>
                <c:pt idx="11">
                  <c:v>Mumbai</c:v>
                </c:pt>
                <c:pt idx="12">
                  <c:v>Nagpur</c:v>
                </c:pt>
                <c:pt idx="13">
                  <c:v>Pune</c:v>
                </c:pt>
                <c:pt idx="14">
                  <c:v>Surat</c:v>
                </c:pt>
              </c:strCache>
            </c:strRef>
          </c:cat>
          <c:val>
            <c:numRef>
              <c:f>Sheet7!$B$4:$B$19</c:f>
              <c:numCache>
                <c:formatCode>General</c:formatCode>
                <c:ptCount val="15"/>
                <c:pt idx="0">
                  <c:v>6.2</c:v>
                </c:pt>
                <c:pt idx="1">
                  <c:v>7.4</c:v>
                </c:pt>
                <c:pt idx="2">
                  <c:v>6.7</c:v>
                </c:pt>
                <c:pt idx="3">
                  <c:v>8.4</c:v>
                </c:pt>
                <c:pt idx="4">
                  <c:v>6.9</c:v>
                </c:pt>
                <c:pt idx="5">
                  <c:v>4.2</c:v>
                </c:pt>
                <c:pt idx="6">
                  <c:v>7.1</c:v>
                </c:pt>
                <c:pt idx="7">
                  <c:v>5.5</c:v>
                </c:pt>
                <c:pt idx="8">
                  <c:v>7.9</c:v>
                </c:pt>
                <c:pt idx="9">
                  <c:v>5.0999999999999996</c:v>
                </c:pt>
                <c:pt idx="10">
                  <c:v>4.7</c:v>
                </c:pt>
                <c:pt idx="11">
                  <c:v>6.8</c:v>
                </c:pt>
                <c:pt idx="12">
                  <c:v>7</c:v>
                </c:pt>
                <c:pt idx="13">
                  <c:v>7.3</c:v>
                </c:pt>
                <c:pt idx="14">
                  <c:v>7.6</c:v>
                </c:pt>
              </c:numCache>
            </c:numRef>
          </c:val>
          <c:smooth val="0"/>
          <c:extLst>
            <c:ext xmlns:c16="http://schemas.microsoft.com/office/drawing/2014/chart" uri="{C3380CC4-5D6E-409C-BE32-E72D297353CC}">
              <c16:uniqueId val="{00000000-7D96-43EB-B6B9-1D4DA7094735}"/>
            </c:ext>
          </c:extLst>
        </c:ser>
        <c:dLbls>
          <c:showLegendKey val="0"/>
          <c:showVal val="0"/>
          <c:showCatName val="0"/>
          <c:showSerName val="0"/>
          <c:showPercent val="0"/>
          <c:showBubbleSize val="0"/>
        </c:dLbls>
        <c:marker val="1"/>
        <c:smooth val="0"/>
        <c:axId val="757170752"/>
        <c:axId val="765362464"/>
      </c:lineChart>
      <c:catAx>
        <c:axId val="75717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362464"/>
        <c:crosses val="autoZero"/>
        <c:auto val="1"/>
        <c:lblAlgn val="ctr"/>
        <c:lblOffset val="100"/>
        <c:noMultiLvlLbl val="0"/>
      </c:catAx>
      <c:valAx>
        <c:axId val="76536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17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397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[Environment data analysis.xlsx]Sheet12!PivotTable17</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City vs Overall Risk </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3"/>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2">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5"/>
        <c:spPr>
          <a:solidFill>
            <a:schemeClr val="accent3">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Sheet12!$B$3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ADE-4A4B-9241-8E32CA50F6B4}"/>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3ADE-4A4B-9241-8E32CA50F6B4}"/>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ADE-4A4B-9241-8E32CA50F6B4}"/>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3ADE-4A4B-9241-8E32CA50F6B4}"/>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ADE-4A4B-9241-8E32CA50F6B4}"/>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3ADE-4A4B-9241-8E32CA50F6B4}"/>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3ADE-4A4B-9241-8E32CA50F6B4}"/>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3ADE-4A4B-9241-8E32CA50F6B4}"/>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3ADE-4A4B-9241-8E32CA50F6B4}"/>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3ADE-4A4B-9241-8E32CA50F6B4}"/>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3ADE-4A4B-9241-8E32CA50F6B4}"/>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3ADE-4A4B-9241-8E32CA50F6B4}"/>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3ADE-4A4B-9241-8E32CA50F6B4}"/>
              </c:ext>
            </c:extLst>
          </c:dPt>
          <c:dPt>
            <c:idx val="13"/>
            <c:bubble3D val="0"/>
            <c:spPr>
              <a:solidFill>
                <a:schemeClr val="accent2">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3ADE-4A4B-9241-8E32CA50F6B4}"/>
              </c:ext>
            </c:extLst>
          </c:dPt>
          <c:dPt>
            <c:idx val="14"/>
            <c:bubble3D val="0"/>
            <c:spPr>
              <a:solidFill>
                <a:schemeClr val="accent3">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3ADE-4A4B-9241-8E32CA50F6B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Sheet12!$A$4:$A$18</c:f>
              <c:strCache>
                <c:ptCount val="15"/>
                <c:pt idx="0">
                  <c:v>Ahmedabad</c:v>
                </c:pt>
                <c:pt idx="1">
                  <c:v>Bengaluru</c:v>
                </c:pt>
                <c:pt idx="2">
                  <c:v>Bhopal</c:v>
                </c:pt>
                <c:pt idx="3">
                  <c:v>Chandigarh</c:v>
                </c:pt>
                <c:pt idx="4">
                  <c:v>Chennai</c:v>
                </c:pt>
                <c:pt idx="5">
                  <c:v>Delhi</c:v>
                </c:pt>
                <c:pt idx="6">
                  <c:v>Hyderabad</c:v>
                </c:pt>
                <c:pt idx="7">
                  <c:v>Jaipur</c:v>
                </c:pt>
                <c:pt idx="8">
                  <c:v>Kochi</c:v>
                </c:pt>
                <c:pt idx="9">
                  <c:v>Kolkata</c:v>
                </c:pt>
                <c:pt idx="10">
                  <c:v>Lucknow</c:v>
                </c:pt>
                <c:pt idx="11">
                  <c:v>Mumbai</c:v>
                </c:pt>
                <c:pt idx="12">
                  <c:v>Nagpur</c:v>
                </c:pt>
                <c:pt idx="13">
                  <c:v>Pune</c:v>
                </c:pt>
                <c:pt idx="14">
                  <c:v>Surat</c:v>
                </c:pt>
              </c:strCache>
            </c:strRef>
          </c:cat>
          <c:val>
            <c:numRef>
              <c:f>Sheet12!$B$4:$B$18</c:f>
              <c:numCache>
                <c:formatCode>General</c:formatCode>
                <c:ptCount val="15"/>
                <c:pt idx="0">
                  <c:v>4.9000000000000004</c:v>
                </c:pt>
                <c:pt idx="1">
                  <c:v>3.4</c:v>
                </c:pt>
                <c:pt idx="2">
                  <c:v>3.6</c:v>
                </c:pt>
                <c:pt idx="3">
                  <c:v>2.9</c:v>
                </c:pt>
                <c:pt idx="4">
                  <c:v>6.8</c:v>
                </c:pt>
                <c:pt idx="5">
                  <c:v>5.8</c:v>
                </c:pt>
                <c:pt idx="6">
                  <c:v>4.0999999999999996</c:v>
                </c:pt>
                <c:pt idx="7">
                  <c:v>4.2</c:v>
                </c:pt>
                <c:pt idx="8">
                  <c:v>7.8</c:v>
                </c:pt>
                <c:pt idx="9">
                  <c:v>6.5</c:v>
                </c:pt>
                <c:pt idx="10">
                  <c:v>4.4000000000000004</c:v>
                </c:pt>
                <c:pt idx="11">
                  <c:v>7.2</c:v>
                </c:pt>
                <c:pt idx="12">
                  <c:v>3.3</c:v>
                </c:pt>
                <c:pt idx="13">
                  <c:v>3.8</c:v>
                </c:pt>
                <c:pt idx="14">
                  <c:v>5.0999999999999996</c:v>
                </c:pt>
              </c:numCache>
            </c:numRef>
          </c:val>
          <c:extLst>
            <c:ext xmlns:c16="http://schemas.microsoft.com/office/drawing/2014/chart" uri="{C3380CC4-5D6E-409C-BE32-E72D297353CC}">
              <c16:uniqueId val="{00000000-3ADE-4A4B-9241-8E32CA50F6B4}"/>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397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[Environment data analysis.xlsx]Sheet1!PivotTable1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vs AQI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cene3d>
            <a:camera prst="orthographicFront"/>
            <a:lightRig rig="threePt" dir="t"/>
          </a:scene3d>
          <a:sp3d>
            <a:bevelT w="152400" h="508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5"/>
            </a:solidFill>
            <a:ln>
              <a:noFill/>
            </a:ln>
            <a:effectLst/>
            <a:scene3d>
              <a:camera prst="orthographicFront"/>
              <a:lightRig rig="threePt" dir="t"/>
            </a:scene3d>
            <a:sp3d>
              <a:bevelT w="152400" h="508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Sheet1!$A$4:$A$19</c:f>
              <c:strCache>
                <c:ptCount val="15"/>
                <c:pt idx="0">
                  <c:v>Ahmedabad</c:v>
                </c:pt>
                <c:pt idx="1">
                  <c:v>Bengaluru</c:v>
                </c:pt>
                <c:pt idx="2">
                  <c:v>Bhopal</c:v>
                </c:pt>
                <c:pt idx="3">
                  <c:v>Chandigarh</c:v>
                </c:pt>
                <c:pt idx="4">
                  <c:v>Chennai</c:v>
                </c:pt>
                <c:pt idx="5">
                  <c:v>Delhi</c:v>
                </c:pt>
                <c:pt idx="6">
                  <c:v>Hyderabad</c:v>
                </c:pt>
                <c:pt idx="7">
                  <c:v>Jaipur</c:v>
                </c:pt>
                <c:pt idx="8">
                  <c:v>Kochi</c:v>
                </c:pt>
                <c:pt idx="9">
                  <c:v>Kolkata</c:v>
                </c:pt>
                <c:pt idx="10">
                  <c:v>Lucknow</c:v>
                </c:pt>
                <c:pt idx="11">
                  <c:v>Mumbai</c:v>
                </c:pt>
                <c:pt idx="12">
                  <c:v>Nagpur</c:v>
                </c:pt>
                <c:pt idx="13">
                  <c:v>Pune</c:v>
                </c:pt>
                <c:pt idx="14">
                  <c:v>Surat</c:v>
                </c:pt>
              </c:strCache>
            </c:strRef>
          </c:cat>
          <c:val>
            <c:numRef>
              <c:f>Sheet1!$B$4:$B$19</c:f>
              <c:numCache>
                <c:formatCode>General</c:formatCode>
                <c:ptCount val="15"/>
                <c:pt idx="0">
                  <c:v>178</c:v>
                </c:pt>
                <c:pt idx="1">
                  <c:v>89</c:v>
                </c:pt>
                <c:pt idx="2">
                  <c:v>121</c:v>
                </c:pt>
                <c:pt idx="3">
                  <c:v>68</c:v>
                </c:pt>
                <c:pt idx="4">
                  <c:v>98</c:v>
                </c:pt>
                <c:pt idx="5">
                  <c:v>312</c:v>
                </c:pt>
                <c:pt idx="6">
                  <c:v>112</c:v>
                </c:pt>
                <c:pt idx="7">
                  <c:v>195</c:v>
                </c:pt>
                <c:pt idx="8">
                  <c:v>75</c:v>
                </c:pt>
                <c:pt idx="9">
                  <c:v>201</c:v>
                </c:pt>
                <c:pt idx="10">
                  <c:v>248</c:v>
                </c:pt>
                <c:pt idx="11">
                  <c:v>148</c:v>
                </c:pt>
                <c:pt idx="12">
                  <c:v>115</c:v>
                </c:pt>
                <c:pt idx="13">
                  <c:v>102</c:v>
                </c:pt>
                <c:pt idx="14">
                  <c:v>134</c:v>
                </c:pt>
              </c:numCache>
            </c:numRef>
          </c:val>
          <c:extLst>
            <c:ext xmlns:c16="http://schemas.microsoft.com/office/drawing/2014/chart" uri="{C3380CC4-5D6E-409C-BE32-E72D297353CC}">
              <c16:uniqueId val="{00000000-08C4-4469-9A74-61548C0F0EC1}"/>
            </c:ext>
          </c:extLst>
        </c:ser>
        <c:dLbls>
          <c:dLblPos val="outEnd"/>
          <c:showLegendKey val="0"/>
          <c:showVal val="1"/>
          <c:showCatName val="0"/>
          <c:showSerName val="0"/>
          <c:showPercent val="0"/>
          <c:showBubbleSize val="0"/>
        </c:dLbls>
        <c:gapWidth val="182"/>
        <c:axId val="423286704"/>
        <c:axId val="545707744"/>
      </c:barChart>
      <c:catAx>
        <c:axId val="42328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707744"/>
        <c:crosses val="autoZero"/>
        <c:auto val="1"/>
        <c:lblAlgn val="ctr"/>
        <c:lblOffset val="100"/>
        <c:noMultiLvlLbl val="0"/>
      </c:catAx>
      <c:valAx>
        <c:axId val="545707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286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5">
          <a:lumMod val="20000"/>
          <a:lumOff val="80000"/>
        </a:schemeClr>
      </a:solidFill>
      <a:round/>
    </a:ln>
    <a:effectLst>
      <a:glow rad="1397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[Environment data analysis.xlsx]Sheet4!PivotTable2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vs Water Quality Index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a:scene3d>
              <a:camera prst="orthographicFront"/>
              <a:lightRig rig="threePt" dir="t"/>
            </a:scene3d>
            <a:sp3d>
              <a:bevelT w="165100" prst="coolSlan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Sheet4!$A$4:$A$19</c:f>
              <c:strCache>
                <c:ptCount val="15"/>
                <c:pt idx="0">
                  <c:v>Ahmedabad</c:v>
                </c:pt>
                <c:pt idx="1">
                  <c:v>Bengaluru</c:v>
                </c:pt>
                <c:pt idx="2">
                  <c:v>Bhopal</c:v>
                </c:pt>
                <c:pt idx="3">
                  <c:v>Chandigarh</c:v>
                </c:pt>
                <c:pt idx="4">
                  <c:v>Chennai</c:v>
                </c:pt>
                <c:pt idx="5">
                  <c:v>Delhi</c:v>
                </c:pt>
                <c:pt idx="6">
                  <c:v>Hyderabad</c:v>
                </c:pt>
                <c:pt idx="7">
                  <c:v>Jaipur</c:v>
                </c:pt>
                <c:pt idx="8">
                  <c:v>Kochi</c:v>
                </c:pt>
                <c:pt idx="9">
                  <c:v>Kolkata</c:v>
                </c:pt>
                <c:pt idx="10">
                  <c:v>Lucknow</c:v>
                </c:pt>
                <c:pt idx="11">
                  <c:v>Mumbai</c:v>
                </c:pt>
                <c:pt idx="12">
                  <c:v>Nagpur</c:v>
                </c:pt>
                <c:pt idx="13">
                  <c:v>Pune</c:v>
                </c:pt>
                <c:pt idx="14">
                  <c:v>Surat</c:v>
                </c:pt>
              </c:strCache>
            </c:strRef>
          </c:cat>
          <c:val>
            <c:numRef>
              <c:f>Sheet4!$B$4:$B$19</c:f>
              <c:numCache>
                <c:formatCode>General</c:formatCode>
                <c:ptCount val="15"/>
                <c:pt idx="0">
                  <c:v>52</c:v>
                </c:pt>
                <c:pt idx="1">
                  <c:v>71</c:v>
                </c:pt>
                <c:pt idx="2">
                  <c:v>65</c:v>
                </c:pt>
                <c:pt idx="3">
                  <c:v>82</c:v>
                </c:pt>
                <c:pt idx="4">
                  <c:v>58</c:v>
                </c:pt>
                <c:pt idx="5">
                  <c:v>38</c:v>
                </c:pt>
                <c:pt idx="6">
                  <c:v>66</c:v>
                </c:pt>
                <c:pt idx="7">
                  <c:v>48</c:v>
                </c:pt>
                <c:pt idx="8">
                  <c:v>78</c:v>
                </c:pt>
                <c:pt idx="9">
                  <c:v>44</c:v>
                </c:pt>
                <c:pt idx="10">
                  <c:v>41</c:v>
                </c:pt>
                <c:pt idx="11">
                  <c:v>62</c:v>
                </c:pt>
                <c:pt idx="12">
                  <c:v>67</c:v>
                </c:pt>
                <c:pt idx="13">
                  <c:v>69</c:v>
                </c:pt>
                <c:pt idx="14">
                  <c:v>61</c:v>
                </c:pt>
              </c:numCache>
            </c:numRef>
          </c:val>
          <c:extLst>
            <c:ext xmlns:c16="http://schemas.microsoft.com/office/drawing/2014/chart" uri="{C3380CC4-5D6E-409C-BE32-E72D297353CC}">
              <c16:uniqueId val="{00000000-42AC-43AF-88A0-F0318DC7DF48}"/>
            </c:ext>
          </c:extLst>
        </c:ser>
        <c:dLbls>
          <c:showLegendKey val="0"/>
          <c:showVal val="1"/>
          <c:showCatName val="0"/>
          <c:showSerName val="0"/>
          <c:showPercent val="0"/>
          <c:showBubbleSize val="0"/>
        </c:dLbls>
        <c:gapWidth val="150"/>
        <c:axId val="551497824"/>
        <c:axId val="555538320"/>
      </c:barChart>
      <c:catAx>
        <c:axId val="551497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538320"/>
        <c:crosses val="autoZero"/>
        <c:auto val="1"/>
        <c:lblAlgn val="ctr"/>
        <c:lblOffset val="100"/>
        <c:noMultiLvlLbl val="0"/>
      </c:catAx>
      <c:valAx>
        <c:axId val="55553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49782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a:glow rad="1397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[Environment data analysis.xlsx]Sheet6!PivotTable13</c:name>
    <c:fmtId val="2"/>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effectLst/>
                <a:latin typeface="+mj-lt"/>
                <a:ea typeface="+mj-ea"/>
                <a:cs typeface="+mj-cs"/>
              </a:defRPr>
            </a:pPr>
            <a:r>
              <a:rPr lang="en-IN">
                <a:effectLst/>
              </a:rPr>
              <a:t>City</a:t>
            </a:r>
            <a:r>
              <a:rPr lang="en-IN" baseline="0">
                <a:effectLst/>
              </a:rPr>
              <a:t> , Noise &amp; Status</a:t>
            </a:r>
            <a:endParaRPr lang="en-IN">
              <a:effectLst/>
            </a:endParaRP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effectLst/>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effectLst>
                    <a:glow rad="63500">
                      <a:schemeClr val="accent5">
                        <a:satMod val="175000"/>
                        <a:alpha val="40000"/>
                      </a:schemeClr>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2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2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37CB-4983-8724-B9D7FB577BEE}"/>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37CB-4983-8724-B9D7FB577BEE}"/>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37CB-4983-8724-B9D7FB577BEE}"/>
              </c:ext>
            </c:extLst>
          </c:dPt>
          <c:dPt>
            <c:idx val="3"/>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7-37CB-4983-8724-B9D7FB577BEE}"/>
              </c:ext>
            </c:extLst>
          </c:dPt>
          <c:dPt>
            <c:idx val="4"/>
            <c:bubble3D val="0"/>
            <c:spPr>
              <a:gradFill>
                <a:gsLst>
                  <a:gs pos="100000">
                    <a:schemeClr val="accent5">
                      <a:lumMod val="60000"/>
                      <a:lumOff val="40000"/>
                    </a:schemeClr>
                  </a:gs>
                  <a:gs pos="0">
                    <a:schemeClr val="accent5"/>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9-E877-475F-B2F6-7180FEC16301}"/>
              </c:ext>
            </c:extLst>
          </c:dPt>
          <c:dPt>
            <c:idx val="5"/>
            <c:bubble3D val="0"/>
            <c:spPr>
              <a:gradFill>
                <a:gsLst>
                  <a:gs pos="100000">
                    <a:schemeClr val="accent6">
                      <a:lumMod val="60000"/>
                      <a:lumOff val="40000"/>
                    </a:schemeClr>
                  </a:gs>
                  <a:gs pos="0">
                    <a:schemeClr val="accent6"/>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B-E877-475F-B2F6-7180FEC16301}"/>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D-E877-475F-B2F6-7180FEC16301}"/>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F-E877-475F-B2F6-7180FEC16301}"/>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1-E877-475F-B2F6-7180FEC16301}"/>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3-E877-475F-B2F6-7180FEC16301}"/>
              </c:ext>
            </c:extLst>
          </c:dPt>
          <c:dPt>
            <c:idx val="10"/>
            <c:bubble3D val="0"/>
            <c:spPr>
              <a:gradFill>
                <a:gsLst>
                  <a:gs pos="100000">
                    <a:schemeClr val="accent5">
                      <a:lumMod val="60000"/>
                      <a:lumMod val="60000"/>
                      <a:lumOff val="40000"/>
                    </a:schemeClr>
                  </a:gs>
                  <a:gs pos="0">
                    <a:schemeClr val="accent5">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5-E877-475F-B2F6-7180FEC16301}"/>
              </c:ext>
            </c:extLst>
          </c:dPt>
          <c:dPt>
            <c:idx val="11"/>
            <c:bubble3D val="0"/>
            <c:spPr>
              <a:gradFill>
                <a:gsLst>
                  <a:gs pos="100000">
                    <a:schemeClr val="accent6">
                      <a:lumMod val="60000"/>
                      <a:lumMod val="60000"/>
                      <a:lumOff val="40000"/>
                    </a:schemeClr>
                  </a:gs>
                  <a:gs pos="0">
                    <a:schemeClr val="accent6">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7-E877-475F-B2F6-7180FEC16301}"/>
              </c:ext>
            </c:extLst>
          </c:dPt>
          <c:dPt>
            <c:idx val="12"/>
            <c:bubble3D val="0"/>
            <c:spPr>
              <a:gradFill>
                <a:gsLst>
                  <a:gs pos="100000">
                    <a:schemeClr val="accent1">
                      <a:lumMod val="80000"/>
                      <a:lumOff val="20000"/>
                      <a:lumMod val="60000"/>
                      <a:lumOff val="40000"/>
                    </a:schemeClr>
                  </a:gs>
                  <a:gs pos="0">
                    <a:schemeClr val="accent1">
                      <a:lumMod val="80000"/>
                      <a:lumOff val="2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9-E877-475F-B2F6-7180FEC16301}"/>
              </c:ext>
            </c:extLst>
          </c:dPt>
          <c:dPt>
            <c:idx val="13"/>
            <c:bubble3D val="0"/>
            <c:spPr>
              <a:gradFill>
                <a:gsLst>
                  <a:gs pos="100000">
                    <a:schemeClr val="accent2">
                      <a:lumMod val="80000"/>
                      <a:lumOff val="20000"/>
                      <a:lumMod val="60000"/>
                      <a:lumOff val="40000"/>
                    </a:schemeClr>
                  </a:gs>
                  <a:gs pos="0">
                    <a:schemeClr val="accent2">
                      <a:lumMod val="80000"/>
                      <a:lumOff val="2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B-E877-475F-B2F6-7180FEC16301}"/>
              </c:ext>
            </c:extLst>
          </c:dPt>
          <c:dPt>
            <c:idx val="14"/>
            <c:bubble3D val="0"/>
            <c:spPr>
              <a:gradFill>
                <a:gsLst>
                  <a:gs pos="100000">
                    <a:schemeClr val="accent3">
                      <a:lumMod val="80000"/>
                      <a:lumOff val="20000"/>
                      <a:lumMod val="60000"/>
                      <a:lumOff val="40000"/>
                    </a:schemeClr>
                  </a:gs>
                  <a:gs pos="0">
                    <a:schemeClr val="accent3">
                      <a:lumMod val="80000"/>
                      <a:lumOff val="2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D-E877-475F-B2F6-7180FEC16301}"/>
              </c:ext>
            </c:extLst>
          </c:dPt>
          <c:dLbls>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effectLst>
                      <a:glow rad="63500">
                        <a:schemeClr val="accent5">
                          <a:satMod val="175000"/>
                          <a:alpha val="40000"/>
                        </a:schemeClr>
                      </a:glow>
                    </a:effectLst>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Sheet6!$A$4:$A$22</c:f>
              <c:multiLvlStrCache>
                <c:ptCount val="15"/>
                <c:lvl>
                  <c:pt idx="0">
                    <c:v>Bengaluru</c:v>
                  </c:pt>
                  <c:pt idx="1">
                    <c:v>Chandigarh</c:v>
                  </c:pt>
                  <c:pt idx="2">
                    <c:v>Kochi</c:v>
                  </c:pt>
                  <c:pt idx="3">
                    <c:v>Nagpur</c:v>
                  </c:pt>
                  <c:pt idx="4">
                    <c:v>Ahmedabad</c:v>
                  </c:pt>
                  <c:pt idx="5">
                    <c:v>Bhopal</c:v>
                  </c:pt>
                  <c:pt idx="6">
                    <c:v>Chennai</c:v>
                  </c:pt>
                  <c:pt idx="7">
                    <c:v>Hyderabad</c:v>
                  </c:pt>
                  <c:pt idx="8">
                    <c:v>Mumbai</c:v>
                  </c:pt>
                  <c:pt idx="9">
                    <c:v>Pune</c:v>
                  </c:pt>
                  <c:pt idx="10">
                    <c:v>Surat</c:v>
                  </c:pt>
                  <c:pt idx="11">
                    <c:v>Delhi</c:v>
                  </c:pt>
                  <c:pt idx="12">
                    <c:v>Jaipur</c:v>
                  </c:pt>
                  <c:pt idx="13">
                    <c:v>Kolkata</c:v>
                  </c:pt>
                  <c:pt idx="14">
                    <c:v>Lucknow</c:v>
                  </c:pt>
                </c:lvl>
                <c:lvl>
                  <c:pt idx="0">
                    <c:v>Acceptable</c:v>
                  </c:pt>
                  <c:pt idx="4">
                    <c:v>High</c:v>
                  </c:pt>
                  <c:pt idx="11">
                    <c:v>Very High</c:v>
                  </c:pt>
                </c:lvl>
              </c:multiLvlStrCache>
            </c:multiLvlStrRef>
          </c:cat>
          <c:val>
            <c:numRef>
              <c:f>Sheet6!$B$4:$B$22</c:f>
              <c:numCache>
                <c:formatCode>General</c:formatCode>
                <c:ptCount val="15"/>
                <c:pt idx="0">
                  <c:v>65</c:v>
                </c:pt>
                <c:pt idx="1">
                  <c:v>58</c:v>
                </c:pt>
                <c:pt idx="2">
                  <c:v>61</c:v>
                </c:pt>
                <c:pt idx="3">
                  <c:v>64</c:v>
                </c:pt>
                <c:pt idx="4">
                  <c:v>74</c:v>
                </c:pt>
                <c:pt idx="5">
                  <c:v>66</c:v>
                </c:pt>
                <c:pt idx="6">
                  <c:v>70</c:v>
                </c:pt>
                <c:pt idx="7">
                  <c:v>68</c:v>
                </c:pt>
                <c:pt idx="8">
                  <c:v>72</c:v>
                </c:pt>
                <c:pt idx="9">
                  <c:v>67</c:v>
                </c:pt>
                <c:pt idx="10">
                  <c:v>69</c:v>
                </c:pt>
                <c:pt idx="11">
                  <c:v>85</c:v>
                </c:pt>
                <c:pt idx="12">
                  <c:v>76</c:v>
                </c:pt>
                <c:pt idx="13">
                  <c:v>78</c:v>
                </c:pt>
                <c:pt idx="14">
                  <c:v>80</c:v>
                </c:pt>
              </c:numCache>
            </c:numRef>
          </c:val>
          <c:extLst>
            <c:ext xmlns:c16="http://schemas.microsoft.com/office/drawing/2014/chart" uri="{C3380CC4-5D6E-409C-BE32-E72D297353CC}">
              <c16:uniqueId val="{00000008-37CB-4983-8724-B9D7FB577BEE}"/>
            </c:ext>
          </c:extLst>
        </c:ser>
        <c:dLbls>
          <c:showLegendKey val="0"/>
          <c:showVal val="0"/>
          <c:showCatName val="0"/>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accent1">
          <a:alpha val="95000"/>
        </a:schemeClr>
      </a:solidFill>
      <a:round/>
    </a:ln>
    <a:effectLst>
      <a:glow rad="139700">
        <a:schemeClr val="accent5">
          <a:satMod val="175000"/>
          <a:alpha val="40000"/>
        </a:schemeClr>
      </a:glow>
    </a:effectLst>
  </c:spPr>
  <c:txPr>
    <a:bodyPr/>
    <a:lstStyle/>
    <a:p>
      <a:pPr>
        <a:defRPr>
          <a:effectLst>
            <a:glow rad="63500">
              <a:schemeClr val="accent5">
                <a:satMod val="175000"/>
                <a:alpha val="40000"/>
              </a:schemeClr>
            </a:glo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[Environment data analysis.xlsx]Sheet7!PivotTable14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vs Waste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prst="angle"/>
            </a:sp3d>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prst="angle"/>
            </a:sp3d>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prst="angl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prst="angle"/>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Sheet7!$A$4:$A$19</c:f>
              <c:strCache>
                <c:ptCount val="15"/>
                <c:pt idx="0">
                  <c:v>Ahmedabad</c:v>
                </c:pt>
                <c:pt idx="1">
                  <c:v>Bengaluru</c:v>
                </c:pt>
                <c:pt idx="2">
                  <c:v>Bhopal</c:v>
                </c:pt>
                <c:pt idx="3">
                  <c:v>Chandigarh</c:v>
                </c:pt>
                <c:pt idx="4">
                  <c:v>Chennai</c:v>
                </c:pt>
                <c:pt idx="5">
                  <c:v>Delhi</c:v>
                </c:pt>
                <c:pt idx="6">
                  <c:v>Hyderabad</c:v>
                </c:pt>
                <c:pt idx="7">
                  <c:v>Jaipur</c:v>
                </c:pt>
                <c:pt idx="8">
                  <c:v>Kochi</c:v>
                </c:pt>
                <c:pt idx="9">
                  <c:v>Kolkata</c:v>
                </c:pt>
                <c:pt idx="10">
                  <c:v>Lucknow</c:v>
                </c:pt>
                <c:pt idx="11">
                  <c:v>Mumbai</c:v>
                </c:pt>
                <c:pt idx="12">
                  <c:v>Nagpur</c:v>
                </c:pt>
                <c:pt idx="13">
                  <c:v>Pune</c:v>
                </c:pt>
                <c:pt idx="14">
                  <c:v>Surat</c:v>
                </c:pt>
              </c:strCache>
            </c:strRef>
          </c:cat>
          <c:val>
            <c:numRef>
              <c:f>Sheet7!$B$4:$B$19</c:f>
              <c:numCache>
                <c:formatCode>General</c:formatCode>
                <c:ptCount val="15"/>
                <c:pt idx="0">
                  <c:v>6.2</c:v>
                </c:pt>
                <c:pt idx="1">
                  <c:v>7.4</c:v>
                </c:pt>
                <c:pt idx="2">
                  <c:v>6.7</c:v>
                </c:pt>
                <c:pt idx="3">
                  <c:v>8.4</c:v>
                </c:pt>
                <c:pt idx="4">
                  <c:v>6.9</c:v>
                </c:pt>
                <c:pt idx="5">
                  <c:v>4.2</c:v>
                </c:pt>
                <c:pt idx="6">
                  <c:v>7.1</c:v>
                </c:pt>
                <c:pt idx="7">
                  <c:v>5.5</c:v>
                </c:pt>
                <c:pt idx="8">
                  <c:v>7.9</c:v>
                </c:pt>
                <c:pt idx="9">
                  <c:v>5.0999999999999996</c:v>
                </c:pt>
                <c:pt idx="10">
                  <c:v>4.7</c:v>
                </c:pt>
                <c:pt idx="11">
                  <c:v>6.8</c:v>
                </c:pt>
                <c:pt idx="12">
                  <c:v>7</c:v>
                </c:pt>
                <c:pt idx="13">
                  <c:v>7.3</c:v>
                </c:pt>
                <c:pt idx="14">
                  <c:v>7.6</c:v>
                </c:pt>
              </c:numCache>
            </c:numRef>
          </c:val>
          <c:smooth val="0"/>
          <c:extLst>
            <c:ext xmlns:c16="http://schemas.microsoft.com/office/drawing/2014/chart" uri="{C3380CC4-5D6E-409C-BE32-E72D297353CC}">
              <c16:uniqueId val="{00000000-ACC1-4A10-8811-9FB09B8943F2}"/>
            </c:ext>
          </c:extLst>
        </c:ser>
        <c:dLbls>
          <c:dLblPos val="t"/>
          <c:showLegendKey val="0"/>
          <c:showVal val="1"/>
          <c:showCatName val="0"/>
          <c:showSerName val="0"/>
          <c:showPercent val="0"/>
          <c:showBubbleSize val="0"/>
        </c:dLbls>
        <c:marker val="1"/>
        <c:smooth val="0"/>
        <c:axId val="757170752"/>
        <c:axId val="765362464"/>
      </c:lineChart>
      <c:catAx>
        <c:axId val="75717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362464"/>
        <c:crosses val="autoZero"/>
        <c:auto val="1"/>
        <c:lblAlgn val="ctr"/>
        <c:lblOffset val="100"/>
        <c:noMultiLvlLbl val="0"/>
      </c:catAx>
      <c:valAx>
        <c:axId val="76536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170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397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[Environment data analysis.xlsx]Sheet12!PivotTable17</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City vs Overall Risk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3"/>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4"/>
        <c:spPr>
          <a:solidFill>
            <a:schemeClr val="accent2">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5"/>
        <c:spPr>
          <a:solidFill>
            <a:schemeClr val="accent3">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Sheet12!$B$3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90BA-4572-88F2-FF1C387D3FDE}"/>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90BA-4572-88F2-FF1C387D3FDE}"/>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90BA-4572-88F2-FF1C387D3FDE}"/>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90BA-4572-88F2-FF1C387D3FDE}"/>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90BA-4572-88F2-FF1C387D3FDE}"/>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90BA-4572-88F2-FF1C387D3FDE}"/>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90BA-4572-88F2-FF1C387D3FDE}"/>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90BA-4572-88F2-FF1C387D3FDE}"/>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90BA-4572-88F2-FF1C387D3FDE}"/>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90BA-4572-88F2-FF1C387D3FDE}"/>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90BA-4572-88F2-FF1C387D3FDE}"/>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90BA-4572-88F2-FF1C387D3FDE}"/>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90BA-4572-88F2-FF1C387D3FDE}"/>
              </c:ext>
            </c:extLst>
          </c:dPt>
          <c:dPt>
            <c:idx val="13"/>
            <c:bubble3D val="0"/>
            <c:spPr>
              <a:solidFill>
                <a:schemeClr val="accent2">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B-90BA-4572-88F2-FF1C387D3FDE}"/>
              </c:ext>
            </c:extLst>
          </c:dPt>
          <c:dPt>
            <c:idx val="14"/>
            <c:bubble3D val="0"/>
            <c:spPr>
              <a:solidFill>
                <a:schemeClr val="accent3">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D-90BA-4572-88F2-FF1C387D3FD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90BA-4572-88F2-FF1C387D3FD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90BA-4572-88F2-FF1C387D3FD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90BA-4572-88F2-FF1C387D3FDE}"/>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90BA-4572-88F2-FF1C387D3FDE}"/>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90BA-4572-88F2-FF1C387D3FDE}"/>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90BA-4572-88F2-FF1C387D3FDE}"/>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90BA-4572-88F2-FF1C387D3FDE}"/>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90BA-4572-88F2-FF1C387D3FDE}"/>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90BA-4572-88F2-FF1C387D3FDE}"/>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3-90BA-4572-88F2-FF1C387D3FDE}"/>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5-90BA-4572-88F2-FF1C387D3FDE}"/>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7-90BA-4572-88F2-FF1C387D3FDE}"/>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9-90BA-4572-88F2-FF1C387D3FDE}"/>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B-90BA-4572-88F2-FF1C387D3FDE}"/>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D-90BA-4572-88F2-FF1C387D3FD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Sheet12!$A$4:$A$18</c:f>
              <c:strCache>
                <c:ptCount val="15"/>
                <c:pt idx="0">
                  <c:v>Ahmedabad</c:v>
                </c:pt>
                <c:pt idx="1">
                  <c:v>Bengaluru</c:v>
                </c:pt>
                <c:pt idx="2">
                  <c:v>Bhopal</c:v>
                </c:pt>
                <c:pt idx="3">
                  <c:v>Chandigarh</c:v>
                </c:pt>
                <c:pt idx="4">
                  <c:v>Chennai</c:v>
                </c:pt>
                <c:pt idx="5">
                  <c:v>Delhi</c:v>
                </c:pt>
                <c:pt idx="6">
                  <c:v>Hyderabad</c:v>
                </c:pt>
                <c:pt idx="7">
                  <c:v>Jaipur</c:v>
                </c:pt>
                <c:pt idx="8">
                  <c:v>Kochi</c:v>
                </c:pt>
                <c:pt idx="9">
                  <c:v>Kolkata</c:v>
                </c:pt>
                <c:pt idx="10">
                  <c:v>Lucknow</c:v>
                </c:pt>
                <c:pt idx="11">
                  <c:v>Mumbai</c:v>
                </c:pt>
                <c:pt idx="12">
                  <c:v>Nagpur</c:v>
                </c:pt>
                <c:pt idx="13">
                  <c:v>Pune</c:v>
                </c:pt>
                <c:pt idx="14">
                  <c:v>Surat</c:v>
                </c:pt>
              </c:strCache>
            </c:strRef>
          </c:cat>
          <c:val>
            <c:numRef>
              <c:f>Sheet12!$B$4:$B$18</c:f>
              <c:numCache>
                <c:formatCode>General</c:formatCode>
                <c:ptCount val="15"/>
                <c:pt idx="0">
                  <c:v>4.9000000000000004</c:v>
                </c:pt>
                <c:pt idx="1">
                  <c:v>3.4</c:v>
                </c:pt>
                <c:pt idx="2">
                  <c:v>3.6</c:v>
                </c:pt>
                <c:pt idx="3">
                  <c:v>2.9</c:v>
                </c:pt>
                <c:pt idx="4">
                  <c:v>6.8</c:v>
                </c:pt>
                <c:pt idx="5">
                  <c:v>5.8</c:v>
                </c:pt>
                <c:pt idx="6">
                  <c:v>4.0999999999999996</c:v>
                </c:pt>
                <c:pt idx="7">
                  <c:v>4.2</c:v>
                </c:pt>
                <c:pt idx="8">
                  <c:v>7.8</c:v>
                </c:pt>
                <c:pt idx="9">
                  <c:v>6.5</c:v>
                </c:pt>
                <c:pt idx="10">
                  <c:v>4.4000000000000004</c:v>
                </c:pt>
                <c:pt idx="11">
                  <c:v>7.2</c:v>
                </c:pt>
                <c:pt idx="12">
                  <c:v>3.3</c:v>
                </c:pt>
                <c:pt idx="13">
                  <c:v>3.8</c:v>
                </c:pt>
                <c:pt idx="14">
                  <c:v>5.0999999999999996</c:v>
                </c:pt>
              </c:numCache>
            </c:numRef>
          </c:val>
          <c:extLst>
            <c:ext xmlns:c16="http://schemas.microsoft.com/office/drawing/2014/chart" uri="{C3380CC4-5D6E-409C-BE32-E72D297353CC}">
              <c16:uniqueId val="{0000001E-90BA-4572-88F2-FF1C387D3FDE}"/>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397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image" Target="../media/image2.sv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image" Target="../media/image1.png"/><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20</xdr:row>
      <xdr:rowOff>0</xdr:rowOff>
    </xdr:from>
    <xdr:to>
      <xdr:col>9</xdr:col>
      <xdr:colOff>589320</xdr:colOff>
      <xdr:row>44</xdr:row>
      <xdr:rowOff>107640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33337</xdr:colOff>
      <xdr:row>4</xdr:row>
      <xdr:rowOff>33336</xdr:rowOff>
    </xdr:from>
    <xdr:to>
      <xdr:col>10</xdr:col>
      <xdr:colOff>338137</xdr:colOff>
      <xdr:row>21</xdr:row>
      <xdr:rowOff>114299</xdr:rowOff>
    </xdr:to>
    <xdr:graphicFrame macro="">
      <xdr:nvGraphicFramePr>
        <xdr:cNvPr id="2" name="Chart 1">
          <a:extLst>
            <a:ext uri="{FF2B5EF4-FFF2-40B4-BE49-F238E27FC236}">
              <a16:creationId xmlns:a16="http://schemas.microsoft.com/office/drawing/2014/main" id="{F2776BD3-F4FD-47F6-B6C4-D104E3109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20</xdr:row>
      <xdr:rowOff>0</xdr:rowOff>
    </xdr:from>
    <xdr:to>
      <xdr:col>8</xdr:col>
      <xdr:colOff>10080</xdr:colOff>
      <xdr:row>46</xdr:row>
      <xdr:rowOff>86760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20</xdr:row>
      <xdr:rowOff>0</xdr:rowOff>
    </xdr:from>
    <xdr:to>
      <xdr:col>8</xdr:col>
      <xdr:colOff>166320</xdr:colOff>
      <xdr:row>44</xdr:row>
      <xdr:rowOff>107640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20</xdr:row>
      <xdr:rowOff>0</xdr:rowOff>
    </xdr:from>
    <xdr:to>
      <xdr:col>7</xdr:col>
      <xdr:colOff>10080</xdr:colOff>
      <xdr:row>46</xdr:row>
      <xdr:rowOff>86760</xdr:rowOff>
    </xdr:to>
    <xdr:graphicFrame macro="">
      <xdr:nvGraphicFramePr>
        <xdr:cNvPr id="3" name="Chart 1">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271462</xdr:colOff>
      <xdr:row>4</xdr:row>
      <xdr:rowOff>33337</xdr:rowOff>
    </xdr:from>
    <xdr:to>
      <xdr:col>9</xdr:col>
      <xdr:colOff>576262</xdr:colOff>
      <xdr:row>18</xdr:row>
      <xdr:rowOff>109537</xdr:rowOff>
    </xdr:to>
    <xdr:graphicFrame macro="">
      <xdr:nvGraphicFramePr>
        <xdr:cNvPr id="2" name="Chart 1">
          <a:extLst>
            <a:ext uri="{FF2B5EF4-FFF2-40B4-BE49-F238E27FC236}">
              <a16:creationId xmlns:a16="http://schemas.microsoft.com/office/drawing/2014/main" id="{90A790C4-7FA1-4ADB-8E9A-0CF58DD529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20</xdr:row>
      <xdr:rowOff>0</xdr:rowOff>
    </xdr:from>
    <xdr:to>
      <xdr:col>8</xdr:col>
      <xdr:colOff>166320</xdr:colOff>
      <xdr:row>44</xdr:row>
      <xdr:rowOff>107640</xdr:rowOff>
    </xdr:to>
    <xdr:graphicFrame macro="">
      <xdr:nvGraphicFramePr>
        <xdr:cNvPr id="4" name="Chart 1">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30</xdr:row>
      <xdr:rowOff>0</xdr:rowOff>
    </xdr:from>
    <xdr:to>
      <xdr:col>9</xdr:col>
      <xdr:colOff>307080</xdr:colOff>
      <xdr:row>60</xdr:row>
      <xdr:rowOff>44640</xdr:rowOff>
    </xdr:to>
    <xdr:graphicFrame macro="">
      <xdr:nvGraphicFramePr>
        <xdr:cNvPr id="5" name="Chart 1">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23812</xdr:colOff>
      <xdr:row>2</xdr:row>
      <xdr:rowOff>28575</xdr:rowOff>
    </xdr:from>
    <xdr:to>
      <xdr:col>10</xdr:col>
      <xdr:colOff>328612</xdr:colOff>
      <xdr:row>16</xdr:row>
      <xdr:rowOff>104775</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138112</xdr:colOff>
      <xdr:row>4</xdr:row>
      <xdr:rowOff>33337</xdr:rowOff>
    </xdr:from>
    <xdr:to>
      <xdr:col>10</xdr:col>
      <xdr:colOff>442912</xdr:colOff>
      <xdr:row>21</xdr:row>
      <xdr:rowOff>85725</xdr:rowOff>
    </xdr:to>
    <xdr:graphicFrame macro="">
      <xdr:nvGraphicFramePr>
        <xdr:cNvPr id="2" name="Chart 1">
          <a:extLst>
            <a:ext uri="{FF2B5EF4-FFF2-40B4-BE49-F238E27FC236}">
              <a16:creationId xmlns:a16="http://schemas.microsoft.com/office/drawing/2014/main" id="{0F1FD688-9E4A-45B5-A5B7-7E3651F13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33337</xdr:colOff>
      <xdr:row>4</xdr:row>
      <xdr:rowOff>33337</xdr:rowOff>
    </xdr:from>
    <xdr:to>
      <xdr:col>10</xdr:col>
      <xdr:colOff>338137</xdr:colOff>
      <xdr:row>18</xdr:row>
      <xdr:rowOff>109537</xdr:rowOff>
    </xdr:to>
    <xdr:graphicFrame macro="">
      <xdr:nvGraphicFramePr>
        <xdr:cNvPr id="2" name="Chart 1">
          <a:extLst>
            <a:ext uri="{FF2B5EF4-FFF2-40B4-BE49-F238E27FC236}">
              <a16:creationId xmlns:a16="http://schemas.microsoft.com/office/drawing/2014/main" id="{B0D6C127-6ABF-4F11-8B07-6152350811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271462</xdr:colOff>
      <xdr:row>4</xdr:row>
      <xdr:rowOff>33337</xdr:rowOff>
    </xdr:from>
    <xdr:to>
      <xdr:col>9</xdr:col>
      <xdr:colOff>576262</xdr:colOff>
      <xdr:row>18</xdr:row>
      <xdr:rowOff>109537</xdr:rowOff>
    </xdr:to>
    <xdr:graphicFrame macro="">
      <xdr:nvGraphicFramePr>
        <xdr:cNvPr id="2" name="Chart 1">
          <a:extLst>
            <a:ext uri="{FF2B5EF4-FFF2-40B4-BE49-F238E27FC236}">
              <a16:creationId xmlns:a16="http://schemas.microsoft.com/office/drawing/2014/main" id="{1BC584D7-53B8-49EB-B683-6084230EC9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319087</xdr:colOff>
      <xdr:row>4</xdr:row>
      <xdr:rowOff>33337</xdr:rowOff>
    </xdr:from>
    <xdr:to>
      <xdr:col>10</xdr:col>
      <xdr:colOff>14287</xdr:colOff>
      <xdr:row>18</xdr:row>
      <xdr:rowOff>109537</xdr:rowOff>
    </xdr:to>
    <xdr:graphicFrame macro="">
      <xdr:nvGraphicFramePr>
        <xdr:cNvPr id="2" name="Chart 1">
          <a:extLst>
            <a:ext uri="{FF2B5EF4-FFF2-40B4-BE49-F238E27FC236}">
              <a16:creationId xmlns:a16="http://schemas.microsoft.com/office/drawing/2014/main" id="{72AF3FD3-8B4C-4C81-BEB9-D029941FA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233362</xdr:colOff>
      <xdr:row>4</xdr:row>
      <xdr:rowOff>33337</xdr:rowOff>
    </xdr:from>
    <xdr:to>
      <xdr:col>9</xdr:col>
      <xdr:colOff>538162</xdr:colOff>
      <xdr:row>18</xdr:row>
      <xdr:rowOff>109537</xdr:rowOff>
    </xdr:to>
    <xdr:graphicFrame macro="">
      <xdr:nvGraphicFramePr>
        <xdr:cNvPr id="2" name="Chart 1">
          <a:extLst>
            <a:ext uri="{FF2B5EF4-FFF2-40B4-BE49-F238E27FC236}">
              <a16:creationId xmlns:a16="http://schemas.microsoft.com/office/drawing/2014/main" id="{8C08B4C4-BAAB-48F9-8560-0358754D8E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214311</xdr:colOff>
      <xdr:row>3</xdr:row>
      <xdr:rowOff>157161</xdr:rowOff>
    </xdr:from>
    <xdr:to>
      <xdr:col>11</xdr:col>
      <xdr:colOff>428624</xdr:colOff>
      <xdr:row>19</xdr:row>
      <xdr:rowOff>142874</xdr:rowOff>
    </xdr:to>
    <xdr:graphicFrame macro="">
      <xdr:nvGraphicFramePr>
        <xdr:cNvPr id="2" name="Chart 1">
          <a:extLst>
            <a:ext uri="{FF2B5EF4-FFF2-40B4-BE49-F238E27FC236}">
              <a16:creationId xmlns:a16="http://schemas.microsoft.com/office/drawing/2014/main" id="{AC680CFE-1474-4369-8601-B97358AD44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289833</xdr:colOff>
      <xdr:row>2</xdr:row>
      <xdr:rowOff>51707</xdr:rowOff>
    </xdr:from>
    <xdr:to>
      <xdr:col>7</xdr:col>
      <xdr:colOff>594633</xdr:colOff>
      <xdr:row>19</xdr:row>
      <xdr:rowOff>104095</xdr:rowOff>
    </xdr:to>
    <xdr:graphicFrame macro="">
      <xdr:nvGraphicFramePr>
        <xdr:cNvPr id="7" name="Chart 6">
          <a:extLst>
            <a:ext uri="{FF2B5EF4-FFF2-40B4-BE49-F238E27FC236}">
              <a16:creationId xmlns:a16="http://schemas.microsoft.com/office/drawing/2014/main" id="{F87920E6-8277-49EB-81CC-4C5815CD3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217713</xdr:colOff>
      <xdr:row>2</xdr:row>
      <xdr:rowOff>27214</xdr:rowOff>
    </xdr:from>
    <xdr:to>
      <xdr:col>18</xdr:col>
      <xdr:colOff>244927</xdr:colOff>
      <xdr:row>19</xdr:row>
      <xdr:rowOff>122464</xdr:rowOff>
    </xdr:to>
    <xdr:graphicFrame macro="">
      <xdr:nvGraphicFramePr>
        <xdr:cNvPr id="9" name="Chart 8">
          <a:extLst>
            <a:ext uri="{FF2B5EF4-FFF2-40B4-BE49-F238E27FC236}">
              <a16:creationId xmlns:a16="http://schemas.microsoft.com/office/drawing/2014/main" id="{66664229-5397-41AB-AF0D-64119C78E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313765</xdr:colOff>
      <xdr:row>21</xdr:row>
      <xdr:rowOff>84044</xdr:rowOff>
    </xdr:from>
    <xdr:to>
      <xdr:col>8</xdr:col>
      <xdr:colOff>44824</xdr:colOff>
      <xdr:row>38</xdr:row>
      <xdr:rowOff>95250</xdr:rowOff>
    </xdr:to>
    <xdr:graphicFrame macro="">
      <xdr:nvGraphicFramePr>
        <xdr:cNvPr id="11" name="Chart 10">
          <a:extLst>
            <a:ext uri="{FF2B5EF4-FFF2-40B4-BE49-F238E27FC236}">
              <a16:creationId xmlns:a16="http://schemas.microsoft.com/office/drawing/2014/main" id="{5F944725-85FD-48CF-8555-B389E85AD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308163</xdr:colOff>
      <xdr:row>21</xdr:row>
      <xdr:rowOff>5602</xdr:rowOff>
    </xdr:from>
    <xdr:to>
      <xdr:col>16</xdr:col>
      <xdr:colOff>312964</xdr:colOff>
      <xdr:row>38</xdr:row>
      <xdr:rowOff>95249</xdr:rowOff>
    </xdr:to>
    <xdr:graphicFrame macro="">
      <xdr:nvGraphicFramePr>
        <xdr:cNvPr id="12" name="Chart 11">
          <a:extLst>
            <a:ext uri="{FF2B5EF4-FFF2-40B4-BE49-F238E27FC236}">
              <a16:creationId xmlns:a16="http://schemas.microsoft.com/office/drawing/2014/main" id="{1EF1F329-8C2B-4E00-9552-AF22B3911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576092</xdr:colOff>
      <xdr:row>24</xdr:row>
      <xdr:rowOff>163284</xdr:rowOff>
    </xdr:from>
    <xdr:to>
      <xdr:col>22</xdr:col>
      <xdr:colOff>589539</xdr:colOff>
      <xdr:row>37</xdr:row>
      <xdr:rowOff>149678</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1E0D4A1D-5388-4718-9B86-684C9C6DABB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210199" y="4912177"/>
              <a:ext cx="1850411" cy="2462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500707</xdr:colOff>
      <xdr:row>24</xdr:row>
      <xdr:rowOff>149678</xdr:rowOff>
    </xdr:from>
    <xdr:to>
      <xdr:col>19</xdr:col>
      <xdr:colOff>514154</xdr:colOff>
      <xdr:row>37</xdr:row>
      <xdr:rowOff>163286</xdr:rowOff>
    </xdr:to>
    <mc:AlternateContent xmlns:mc="http://schemas.openxmlformats.org/markup-compatibility/2006" xmlns:a14="http://schemas.microsoft.com/office/drawing/2010/main">
      <mc:Choice Requires="a14">
        <xdr:graphicFrame macro="">
          <xdr:nvGraphicFramePr>
            <xdr:cNvPr id="3" name="AQI (2024)">
              <a:extLst>
                <a:ext uri="{FF2B5EF4-FFF2-40B4-BE49-F238E27FC236}">
                  <a16:creationId xmlns:a16="http://schemas.microsoft.com/office/drawing/2014/main" id="{D07F10F3-C4E5-4790-95AA-9FF29DEF8EF1}"/>
                </a:ext>
              </a:extLst>
            </xdr:cNvPr>
            <xdr:cNvGraphicFramePr/>
          </xdr:nvGraphicFramePr>
          <xdr:xfrm>
            <a:off x="0" y="0"/>
            <a:ext cx="0" cy="0"/>
          </xdr:xfrm>
          <a:graphic>
            <a:graphicData uri="http://schemas.microsoft.com/office/drawing/2010/slicer">
              <sle:slicer xmlns:sle="http://schemas.microsoft.com/office/drawing/2010/slicer" name="AQI (2024)"/>
            </a:graphicData>
          </a:graphic>
        </xdr:graphicFrame>
      </mc:Choice>
      <mc:Fallback xmlns="">
        <xdr:sp macro="" textlink="">
          <xdr:nvSpPr>
            <xdr:cNvPr id="0" name=""/>
            <xdr:cNvSpPr>
              <a:spLocks noTextEdit="1"/>
            </xdr:cNvSpPr>
          </xdr:nvSpPr>
          <xdr:spPr>
            <a:xfrm>
              <a:off x="10297850" y="4898571"/>
              <a:ext cx="1850411" cy="2490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161256</xdr:colOff>
      <xdr:row>25</xdr:row>
      <xdr:rowOff>0</xdr:rowOff>
    </xdr:from>
    <xdr:to>
      <xdr:col>28</xdr:col>
      <xdr:colOff>544286</xdr:colOff>
      <xdr:row>37</xdr:row>
      <xdr:rowOff>136071</xdr:rowOff>
    </xdr:to>
    <mc:AlternateContent xmlns:mc="http://schemas.openxmlformats.org/markup-compatibility/2006" xmlns:a14="http://schemas.microsoft.com/office/drawing/2010/main">
      <mc:Choice Requires="a14">
        <xdr:graphicFrame macro="">
          <xdr:nvGraphicFramePr>
            <xdr:cNvPr id="4" name="WQI (0-100)">
              <a:extLst>
                <a:ext uri="{FF2B5EF4-FFF2-40B4-BE49-F238E27FC236}">
                  <a16:creationId xmlns:a16="http://schemas.microsoft.com/office/drawing/2014/main" id="{B493C87D-44D6-4A55-AA35-AC7F666C6A47}"/>
                </a:ext>
              </a:extLst>
            </xdr:cNvPr>
            <xdr:cNvGraphicFramePr/>
          </xdr:nvGraphicFramePr>
          <xdr:xfrm>
            <a:off x="0" y="0"/>
            <a:ext cx="0" cy="0"/>
          </xdr:xfrm>
          <a:graphic>
            <a:graphicData uri="http://schemas.microsoft.com/office/drawing/2010/slicer">
              <sle:slicer xmlns:sle="http://schemas.microsoft.com/office/drawing/2010/slicer" name="WQI (0-100)"/>
            </a:graphicData>
          </a:graphic>
        </xdr:graphicFrame>
      </mc:Choice>
      <mc:Fallback xmlns="">
        <xdr:sp macro="" textlink="">
          <xdr:nvSpPr>
            <xdr:cNvPr id="0" name=""/>
            <xdr:cNvSpPr>
              <a:spLocks noTextEdit="1"/>
            </xdr:cNvSpPr>
          </xdr:nvSpPr>
          <xdr:spPr>
            <a:xfrm>
              <a:off x="16081613" y="4939393"/>
              <a:ext cx="1607673" cy="2422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81504</xdr:colOff>
      <xdr:row>24</xdr:row>
      <xdr:rowOff>176894</xdr:rowOff>
    </xdr:from>
    <xdr:to>
      <xdr:col>26</xdr:col>
      <xdr:colOff>94951</xdr:colOff>
      <xdr:row>37</xdr:row>
      <xdr:rowOff>136071</xdr:rowOff>
    </xdr:to>
    <mc:AlternateContent xmlns:mc="http://schemas.openxmlformats.org/markup-compatibility/2006" xmlns:a14="http://schemas.microsoft.com/office/drawing/2010/main">
      <mc:Choice Requires="a14">
        <xdr:graphicFrame macro="">
          <xdr:nvGraphicFramePr>
            <xdr:cNvPr id="13" name="Overall Risk (1-10)">
              <a:extLst>
                <a:ext uri="{FF2B5EF4-FFF2-40B4-BE49-F238E27FC236}">
                  <a16:creationId xmlns:a16="http://schemas.microsoft.com/office/drawing/2014/main" id="{F178101D-02ED-498E-800F-C8972ABE9356}"/>
                </a:ext>
              </a:extLst>
            </xdr:cNvPr>
            <xdr:cNvGraphicFramePr/>
          </xdr:nvGraphicFramePr>
          <xdr:xfrm>
            <a:off x="0" y="0"/>
            <a:ext cx="0" cy="0"/>
          </xdr:xfrm>
          <a:graphic>
            <a:graphicData uri="http://schemas.microsoft.com/office/drawing/2010/slicer">
              <sle:slicer xmlns:sle="http://schemas.microsoft.com/office/drawing/2010/slicer" name="Overall Risk (1-10)"/>
            </a:graphicData>
          </a:graphic>
        </xdr:graphicFrame>
      </mc:Choice>
      <mc:Fallback xmlns="">
        <xdr:sp macro="" textlink="">
          <xdr:nvSpPr>
            <xdr:cNvPr id="0" name=""/>
            <xdr:cNvSpPr>
              <a:spLocks noTextEdit="1"/>
            </xdr:cNvSpPr>
          </xdr:nvSpPr>
          <xdr:spPr>
            <a:xfrm>
              <a:off x="14164897" y="4925787"/>
              <a:ext cx="1850411" cy="2435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530679</xdr:colOff>
      <xdr:row>1</xdr:row>
      <xdr:rowOff>190498</xdr:rowOff>
    </xdr:from>
    <xdr:to>
      <xdr:col>28</xdr:col>
      <xdr:colOff>462643</xdr:colOff>
      <xdr:row>23</xdr:row>
      <xdr:rowOff>81641</xdr:rowOff>
    </xdr:to>
    <xdr:graphicFrame macro="">
      <xdr:nvGraphicFramePr>
        <xdr:cNvPr id="17" name="Chart 16">
          <a:extLst>
            <a:ext uri="{FF2B5EF4-FFF2-40B4-BE49-F238E27FC236}">
              <a16:creationId xmlns:a16="http://schemas.microsoft.com/office/drawing/2014/main" id="{AAF3F5F0-3B37-431F-9B73-FAA61F4C1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54428</xdr:colOff>
      <xdr:row>19</xdr:row>
      <xdr:rowOff>163286</xdr:rowOff>
    </xdr:from>
    <xdr:to>
      <xdr:col>18</xdr:col>
      <xdr:colOff>356506</xdr:colOff>
      <xdr:row>24</xdr:row>
      <xdr:rowOff>125186</xdr:rowOff>
    </xdr:to>
    <xdr:pic>
      <xdr:nvPicPr>
        <xdr:cNvPr id="19" name="Graphic 18" descr="Deciduous tree">
          <a:extLst>
            <a:ext uri="{FF2B5EF4-FFF2-40B4-BE49-F238E27FC236}">
              <a16:creationId xmlns:a16="http://schemas.microsoft.com/office/drawing/2014/main" id="{CA52F204-C890-42D2-93D0-3481EA3D825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463892" y="3959679"/>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34.989499189818" createdVersion="6" refreshedVersion="6" minRefreshableVersion="3" recordCount="15" xr:uid="{00000000-000A-0000-FFFF-FFFF04000000}">
  <cacheSource type="worksheet">
    <worksheetSource ref="A3:K18" sheet="Disaster Risk"/>
  </cacheSource>
  <cacheFields count="11">
    <cacheField name="City" numFmtId="0">
      <sharedItems count="15">
        <s v="Mumbai"/>
        <s v="Delhi"/>
        <s v="Bengaluru"/>
        <s v="Hyderabad"/>
        <s v="Chennai"/>
        <s v="Kolkata"/>
        <s v="Pune"/>
        <s v="Ahmedabad"/>
        <s v="Jaipur"/>
        <s v="Lucknow"/>
        <s v="Surat"/>
        <s v="Kochi"/>
        <s v="Chandigarh"/>
        <s v="Bhopal"/>
        <s v="Nagpur"/>
      </sharedItems>
    </cacheField>
    <cacheField name="Region" numFmtId="0">
      <sharedItems/>
    </cacheField>
    <cacheField name="Overall Risk (1-10)" numFmtId="164">
      <sharedItems containsSemiMixedTypes="0" containsString="0" containsNumber="1" minValue="2.9" maxValue="7.8"/>
    </cacheField>
    <cacheField name="Risk Level" numFmtId="0">
      <sharedItems/>
    </cacheField>
    <cacheField name="Flood Risk" numFmtId="164">
      <sharedItems containsSemiMixedTypes="0" containsString="0" containsNumber="1" minValue="2.4" maxValue="8.4"/>
    </cacheField>
    <cacheField name="Earthquake Risk" numFmtId="164">
      <sharedItems containsSemiMixedTypes="0" containsString="0" containsNumber="1" minValue="3.2" maxValue="7.2"/>
    </cacheField>
    <cacheField name="Cyclone Risk" numFmtId="164">
      <sharedItems containsSemiMixedTypes="0" containsString="0" containsNumber="1" minValue="1.2" maxValue="8.4"/>
    </cacheField>
    <cacheField name="Heat Wave Risk" numFmtId="164">
      <sharedItems containsSemiMixedTypes="0" containsString="0" containsNumber="1" minValue="4.4000000000000004" maxValue="9.4"/>
    </cacheField>
    <cacheField name="Preparedness Score" numFmtId="164">
      <sharedItems containsSemiMixedTypes="0" containsString="0" containsNumber="1" minValue="6.2" maxValue="8.6" count="9">
        <n v="7.2"/>
        <n v="6.4"/>
        <n v="7.8"/>
        <n v="6.8"/>
        <n v="6.2"/>
        <n v="7.4"/>
        <n v="6.6"/>
        <n v="7.6"/>
        <n v="8.6"/>
      </sharedItems>
    </cacheField>
    <cacheField name="Risk Score (0-10)" numFmtId="164">
      <sharedItems containsSemiMixedTypes="0" containsString="0" containsNumber="1" minValue="2.2000000000000002" maxValue="7.1"/>
    </cacheField>
    <cacheField name="Primary Hazar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35.014104050926" createdVersion="6" refreshedVersion="6" minRefreshableVersion="3" recordCount="15" xr:uid="{00000000-000A-0000-FFFF-FFFF06000000}">
  <cacheSource type="worksheet">
    <worksheetSource ref="A3:L18" sheet="Water Quality"/>
  </cacheSource>
  <cacheFields count="12">
    <cacheField name="City" numFmtId="0">
      <sharedItems count="15">
        <s v="Mumbai"/>
        <s v="Delhi"/>
        <s v="Bengaluru"/>
        <s v="Hyderabad"/>
        <s v="Chennai"/>
        <s v="Kolkata"/>
        <s v="Pune"/>
        <s v="Ahmedabad"/>
        <s v="Jaipur"/>
        <s v="Lucknow"/>
        <s v="Surat"/>
        <s v="Kochi"/>
        <s v="Chandigarh"/>
        <s v="Bhopal"/>
        <s v="Nagpur"/>
      </sharedItems>
    </cacheField>
    <cacheField name="Region" numFmtId="0">
      <sharedItems/>
    </cacheField>
    <cacheField name="WQI (0-100)" numFmtId="0">
      <sharedItems containsSemiMixedTypes="0" containsString="0" containsNumber="1" containsInteger="1" minValue="38" maxValue="82"/>
    </cacheField>
    <cacheField name="Status" numFmtId="0">
      <sharedItems/>
    </cacheField>
    <cacheField name="pH Level" numFmtId="164">
      <sharedItems containsSemiMixedTypes="0" containsString="0" containsNumber="1" minValue="7" maxValue="7.8"/>
    </cacheField>
    <cacheField name="Turbidity (NTU)" numFmtId="164">
      <sharedItems containsSemiMixedTypes="0" containsString="0" containsNumber="1" minValue="0.8" maxValue="8.6"/>
    </cacheField>
    <cacheField name="TDS (mg/L)" numFmtId="1">
      <sharedItems containsSemiMixedTypes="0" containsString="0" containsNumber="1" containsInteger="1" minValue="164" maxValue="486"/>
    </cacheField>
    <cacheField name="Coliform (MPN/100ml)" numFmtId="1">
      <sharedItems containsSemiMixedTypes="0" containsString="0" containsNumber="1" containsInteger="1" minValue="2" maxValue="240"/>
    </cacheField>
    <cacheField name="Fluoride (mg/L)" numFmtId="164">
      <sharedItems containsSemiMixedTypes="0" containsString="0" containsNumber="1" minValue="0.2" maxValue="1.2"/>
    </cacheField>
    <cacheField name="Water Score (0-10)" numFmtId="164">
      <sharedItems containsSemiMixedTypes="0" containsString="0" containsNumber="1" minValue="3.8" maxValue="8.1999999999999993"/>
    </cacheField>
    <cacheField name="Supply Coverage %" numFmtId="9">
      <sharedItems containsSemiMixedTypes="0" containsString="0" containsNumber="1" minValue="0.74" maxValue="0.98"/>
    </cacheField>
    <cacheField name="Main Sourc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mcoe" refreshedDate="46136.257502777778" createdVersion="6" refreshedVersion="6" minRefreshableVersion="3" recordCount="15" xr:uid="{00000000-000A-0000-FFFF-FFFF0A000000}">
  <cacheSource type="worksheet">
    <worksheetSource ref="A1:O16" sheet="Sheet2"/>
  </cacheSource>
  <cacheFields count="15">
    <cacheField name="City" numFmtId="0">
      <sharedItems count="15">
        <s v="Mumbai"/>
        <s v="Delhi"/>
        <s v="Bengaluru"/>
        <s v="Hyderabad"/>
        <s v="Chennai"/>
        <s v="Kolkata"/>
        <s v="Pune"/>
        <s v="Ahmedabad"/>
        <s v="Jaipur"/>
        <s v="Lucknow"/>
        <s v="Surat"/>
        <s v="Kochi"/>
        <s v="Chandigarh"/>
        <s v="Bhopal"/>
        <s v="Nagpur"/>
      </sharedItems>
    </cacheField>
    <cacheField name="Region" numFmtId="0">
      <sharedItems/>
    </cacheField>
    <cacheField name="AQI (2024)" numFmtId="0">
      <sharedItems containsSemiMixedTypes="0" containsString="0" containsNumber="1" containsInteger="1" minValue="68" maxValue="312" count="15">
        <n v="148"/>
        <n v="312"/>
        <n v="89"/>
        <n v="112"/>
        <n v="98"/>
        <n v="201"/>
        <n v="102"/>
        <n v="178"/>
        <n v="195"/>
        <n v="248"/>
        <n v="134"/>
        <n v="75"/>
        <n v="68"/>
        <n v="121"/>
        <n v="115"/>
      </sharedItems>
    </cacheField>
    <cacheField name="Status" numFmtId="0">
      <sharedItems/>
    </cacheField>
    <cacheField name="WQI (0-100)" numFmtId="0">
      <sharedItems containsSemiMixedTypes="0" containsString="0" containsNumber="1" containsInteger="1" minValue="38" maxValue="82" count="15">
        <n v="62"/>
        <n v="38"/>
        <n v="71"/>
        <n v="66"/>
        <n v="58"/>
        <n v="44"/>
        <n v="69"/>
        <n v="52"/>
        <n v="48"/>
        <n v="41"/>
        <n v="61"/>
        <n v="78"/>
        <n v="82"/>
        <n v="65"/>
        <n v="67"/>
      </sharedItems>
    </cacheField>
    <cacheField name="Status2" numFmtId="0">
      <sharedItems/>
    </cacheField>
    <cacheField name="pH Level" numFmtId="164">
      <sharedItems containsSemiMixedTypes="0" containsString="0" containsNumber="1" minValue="7" maxValue="7.8"/>
    </cacheField>
    <cacheField name="Avg Noise (dB)" numFmtId="1">
      <sharedItems containsSemiMixedTypes="0" containsString="0" containsNumber="1" containsInteger="1" minValue="58" maxValue="85"/>
    </cacheField>
    <cacheField name="Status3" numFmtId="0">
      <sharedItems count="3">
        <s v="High"/>
        <s v="Very High"/>
        <s v="Acceptable"/>
      </sharedItems>
    </cacheField>
    <cacheField name="Noise Score (0-10)" numFmtId="164">
      <sharedItems containsSemiMixedTypes="0" containsString="0" containsNumber="1" minValue="3" maxValue="8.4"/>
    </cacheField>
    <cacheField name="Collection Coverage %" numFmtId="9">
      <sharedItems containsSemiMixedTypes="0" containsString="0" containsNumber="1" minValue="0.42" maxValue="0.84"/>
    </cacheField>
    <cacheField name="Waste Score (0-10)" numFmtId="164">
      <sharedItems containsSemiMixedTypes="0" containsString="0" containsNumber="1" minValue="4.2" maxValue="8.4"/>
    </cacheField>
    <cacheField name="Rating" numFmtId="0">
      <sharedItems/>
    </cacheField>
    <cacheField name="Overall Risk (1-10)" numFmtId="164">
      <sharedItems containsSemiMixedTypes="0" containsString="0" containsNumber="1" minValue="2.9" maxValue="7.8" count="15">
        <n v="7.2"/>
        <n v="5.8"/>
        <n v="3.4"/>
        <n v="4.0999999999999996"/>
        <n v="6.8"/>
        <n v="6.5"/>
        <n v="3.8"/>
        <n v="4.9000000000000004"/>
        <n v="4.2"/>
        <n v="4.4000000000000004"/>
        <n v="5.0999999999999996"/>
        <n v="7.8"/>
        <n v="2.9"/>
        <n v="3.6"/>
        <n v="3.3"/>
      </sharedItems>
    </cacheField>
    <cacheField name="Risk Level" numFmtId="0">
      <sharedItems/>
    </cacheField>
  </cacheFields>
  <extLst>
    <ext xmlns:x14="http://schemas.microsoft.com/office/spreadsheetml/2009/9/main" uri="{725AE2AE-9491-48be-B2B4-4EB974FC3084}">
      <x14:pivotCacheDefinition pivotCacheId="170856061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36.674902314815" createdVersion="6" refreshedVersion="6" minRefreshableVersion="3" recordCount="15" xr:uid="{5652A2A4-D48F-40A4-8552-DD22758F2AF6}">
  <cacheSource type="worksheet">
    <worksheetSource name="Table1"/>
  </cacheSource>
  <cacheFields count="2">
    <cacheField name="Overall Risk (1-10)" numFmtId="164">
      <sharedItems containsSemiMixedTypes="0" containsString="0" containsNumber="1" minValue="2.9" maxValue="7.8" count="15">
        <n v="7.2"/>
        <n v="5.8"/>
        <n v="3.4"/>
        <n v="4.0999999999999996"/>
        <n v="6.8"/>
        <n v="6.5"/>
        <n v="3.8"/>
        <n v="4.9000000000000004"/>
        <n v="4.2"/>
        <n v="4.4000000000000004"/>
        <n v="5.0999999999999996"/>
        <n v="7.8"/>
        <n v="2.9"/>
        <n v="3.6"/>
        <n v="3.3"/>
      </sharedItems>
    </cacheField>
    <cacheField name="Risk Level" numFmtId="0">
      <sharedItems count="4">
        <s v="Very High"/>
        <s v="High"/>
        <s v="Moderate"/>
        <s v="Low"/>
      </sharedItems>
    </cacheField>
  </cacheFields>
  <extLst>
    <ext xmlns:x14="http://schemas.microsoft.com/office/spreadsheetml/2009/9/main" uri="{725AE2AE-9491-48be-B2B4-4EB974FC3084}">
      <x14:pivotCacheDefinition pivotCacheId="10222144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s v="West"/>
    <n v="7.2"/>
    <s v="Very High"/>
    <n v="8.4"/>
    <n v="3.2"/>
    <n v="7.6"/>
    <n v="6.8"/>
    <x v="0"/>
    <n v="2.8"/>
    <s v="Flooding, cyclones"/>
  </r>
  <r>
    <x v="1"/>
    <s v="North"/>
    <n v="5.8"/>
    <s v="High"/>
    <n v="4.2"/>
    <n v="5.8"/>
    <n v="1.2"/>
    <n v="9.4"/>
    <x v="1"/>
    <n v="4.2"/>
    <s v="Heat waves, earthquakes"/>
  </r>
  <r>
    <x v="2"/>
    <s v="South"/>
    <n v="3.4"/>
    <s v="Moderate"/>
    <n v="3.4"/>
    <n v="3.6"/>
    <n v="1.4"/>
    <n v="4.8"/>
    <x v="2"/>
    <n v="6.6"/>
    <s v="Urban flooding"/>
  </r>
  <r>
    <x v="3"/>
    <s v="South"/>
    <n v="4.0999999999999996"/>
    <s v="Moderate"/>
    <n v="4.8"/>
    <n v="3.8"/>
    <n v="3.2"/>
    <n v="6.2"/>
    <x v="0"/>
    <n v="5.9"/>
    <s v="Flooding, heat"/>
  </r>
  <r>
    <x v="4"/>
    <s v="South"/>
    <n v="6.8"/>
    <s v="High"/>
    <n v="7.2"/>
    <n v="4.4000000000000004"/>
    <n v="8.4"/>
    <n v="7.6"/>
    <x v="3"/>
    <n v="3.2"/>
    <s v="Cyclones, flooding"/>
  </r>
  <r>
    <x v="5"/>
    <s v="East"/>
    <n v="6.5"/>
    <s v="High"/>
    <n v="6.8"/>
    <n v="3.6"/>
    <n v="7.8"/>
    <n v="6.4"/>
    <x v="4"/>
    <n v="3.5"/>
    <s v="Cyclones, flooding"/>
  </r>
  <r>
    <x v="6"/>
    <s v="West"/>
    <n v="3.8"/>
    <s v="Moderate"/>
    <n v="3.2"/>
    <n v="4.2"/>
    <n v="1.2"/>
    <n v="4.4000000000000004"/>
    <x v="5"/>
    <n v="6.2"/>
    <s v="Landslides (hills)"/>
  </r>
  <r>
    <x v="7"/>
    <s v="West"/>
    <n v="4.9000000000000004"/>
    <s v="Moderate"/>
    <n v="3.8"/>
    <n v="7.2"/>
    <n v="2.4"/>
    <n v="8.8000000000000007"/>
    <x v="6"/>
    <n v="5.0999999999999996"/>
    <s v="Earthquakes, heat"/>
  </r>
  <r>
    <x v="8"/>
    <s v="North"/>
    <n v="4.2"/>
    <s v="Moderate"/>
    <n v="2.4"/>
    <n v="4.8"/>
    <n v="1.2"/>
    <n v="8.4"/>
    <x v="1"/>
    <n v="5.8"/>
    <s v="Heat waves, drought"/>
  </r>
  <r>
    <x v="9"/>
    <s v="North"/>
    <n v="4.4000000000000004"/>
    <s v="Moderate"/>
    <n v="4.5999999999999996"/>
    <n v="4.2"/>
    <n v="1.2"/>
    <n v="7.8"/>
    <x v="4"/>
    <n v="5.6"/>
    <s v="Flooding, heat"/>
  </r>
  <r>
    <x v="10"/>
    <s v="West"/>
    <n v="5.0999999999999996"/>
    <s v="High"/>
    <n v="5.8"/>
    <n v="4.4000000000000004"/>
    <n v="5.6"/>
    <n v="7.2"/>
    <x v="3"/>
    <n v="4.9000000000000004"/>
    <s v="Flooding, cyclones"/>
  </r>
  <r>
    <x v="11"/>
    <s v="South"/>
    <n v="7.8"/>
    <s v="Very High"/>
    <n v="7.6"/>
    <n v="3.2"/>
    <n v="6.4"/>
    <n v="5.8"/>
    <x v="7"/>
    <n v="2.2000000000000002"/>
    <s v="Flooding, cyclones"/>
  </r>
  <r>
    <x v="12"/>
    <s v="North"/>
    <n v="2.9"/>
    <s v="Low"/>
    <n v="2.4"/>
    <n v="3.8"/>
    <n v="1.2"/>
    <n v="5.4"/>
    <x v="8"/>
    <n v="7.1"/>
    <s v="Moderate earthquake risk"/>
  </r>
  <r>
    <x v="13"/>
    <s v="Central"/>
    <n v="3.6"/>
    <s v="Moderate"/>
    <n v="2.8"/>
    <n v="3.2"/>
    <n v="1.2"/>
    <n v="6.4"/>
    <x v="0"/>
    <n v="6.4"/>
    <s v="Industrial risk (Bhopal legacy)"/>
  </r>
  <r>
    <x v="14"/>
    <s v="Central"/>
    <n v="3.3"/>
    <s v="Moderate"/>
    <n v="2.4"/>
    <n v="3.4"/>
    <n v="1.2"/>
    <n v="7.6"/>
    <x v="7"/>
    <n v="6.7"/>
    <s v="Heat waves, drough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s v="West"/>
    <n v="62"/>
    <s v="Good"/>
    <n v="7.2"/>
    <n v="2.4"/>
    <n v="284"/>
    <n v="12"/>
    <n v="0.6"/>
    <n v="6.2"/>
    <n v="0.94"/>
    <s v="Bhatsa, Tansa reservoirs"/>
  </r>
  <r>
    <x v="1"/>
    <s v="North"/>
    <n v="38"/>
    <s v="Poor"/>
    <n v="7.8"/>
    <n v="8.6"/>
    <n v="486"/>
    <n v="240"/>
    <n v="1.2"/>
    <n v="3.8"/>
    <n v="0.82"/>
    <s v="Yamuna river (treated)"/>
  </r>
  <r>
    <x v="2"/>
    <s v="South"/>
    <n v="71"/>
    <s v="Good"/>
    <n v="7.1"/>
    <n v="1.8"/>
    <n v="242"/>
    <n v="6"/>
    <n v="0.4"/>
    <n v="7.1"/>
    <n v="0.91"/>
    <s v="Cauvery river"/>
  </r>
  <r>
    <x v="3"/>
    <s v="South"/>
    <n v="66"/>
    <s v="Good"/>
    <n v="7.3"/>
    <n v="2.1"/>
    <n v="268"/>
    <n v="9"/>
    <n v="0.5"/>
    <n v="6.6"/>
    <n v="0.89"/>
    <s v="Krishna, Godavari"/>
  </r>
  <r>
    <x v="4"/>
    <s v="South"/>
    <n v="58"/>
    <s v="Fair"/>
    <n v="7.5"/>
    <n v="4.2"/>
    <n v="364"/>
    <n v="68"/>
    <n v="0.8"/>
    <n v="5.8"/>
    <n v="0.86"/>
    <s v="Poondi, Chembarambakkam"/>
  </r>
  <r>
    <x v="5"/>
    <s v="East"/>
    <n v="44"/>
    <s v="Fair"/>
    <n v="7.6"/>
    <n v="6.8"/>
    <n v="428"/>
    <n v="148"/>
    <n v="1"/>
    <n v="4.4000000000000004"/>
    <n v="0.8"/>
    <s v="Hooghly river"/>
  </r>
  <r>
    <x v="6"/>
    <s v="West"/>
    <n v="69"/>
    <s v="Good"/>
    <n v="7.2"/>
    <n v="2"/>
    <n v="258"/>
    <n v="8"/>
    <n v="0.4"/>
    <n v="6.9"/>
    <n v="0.92"/>
    <s v="Khadakwasla dam"/>
  </r>
  <r>
    <x v="7"/>
    <s v="West"/>
    <n v="52"/>
    <s v="Fair"/>
    <n v="7.4"/>
    <n v="4.8"/>
    <n v="382"/>
    <n v="84"/>
    <n v="0.9"/>
    <n v="5.2"/>
    <n v="0.85"/>
    <s v="Narmada canal"/>
  </r>
  <r>
    <x v="8"/>
    <s v="North"/>
    <n v="48"/>
    <s v="Fair"/>
    <n v="7.6"/>
    <n v="5.4"/>
    <n v="418"/>
    <n v="112"/>
    <n v="1.1000000000000001"/>
    <n v="4.8"/>
    <n v="0.78"/>
    <s v="Bisalpur dam"/>
  </r>
  <r>
    <x v="9"/>
    <s v="North"/>
    <n v="41"/>
    <s v="Fair"/>
    <n v="7.7"/>
    <n v="7.2"/>
    <n v="458"/>
    <n v="196"/>
    <n v="1.1000000000000001"/>
    <n v="4.0999999999999996"/>
    <n v="0.74"/>
    <s v="Sarda canal, groundwater"/>
  </r>
  <r>
    <x v="10"/>
    <s v="West"/>
    <n v="61"/>
    <s v="Good"/>
    <n v="7.3"/>
    <n v="3.2"/>
    <n v="318"/>
    <n v="42"/>
    <n v="0.7"/>
    <n v="6.1"/>
    <n v="0.88"/>
    <s v="Ukai dam, Tapi river"/>
  </r>
  <r>
    <x v="11"/>
    <s v="South"/>
    <n v="78"/>
    <s v="Good"/>
    <n v="7"/>
    <n v="1.4"/>
    <n v="198"/>
    <n v="4"/>
    <n v="0.3"/>
    <n v="7.8"/>
    <n v="0.96"/>
    <s v="Periyar river"/>
  </r>
  <r>
    <x v="12"/>
    <s v="North"/>
    <n v="82"/>
    <s v="Excellent"/>
    <n v="7.1"/>
    <n v="0.8"/>
    <n v="164"/>
    <n v="2"/>
    <n v="0.2"/>
    <n v="8.1999999999999993"/>
    <n v="0.98"/>
    <s v="Ghaggar, Bhakra canal"/>
  </r>
  <r>
    <x v="13"/>
    <s v="Central"/>
    <n v="65"/>
    <s v="Good"/>
    <n v="7.2"/>
    <n v="2.4"/>
    <n v="268"/>
    <n v="14"/>
    <n v="0.5"/>
    <n v="6.5"/>
    <n v="0.9"/>
    <s v="Upper Lake, Kolar dam"/>
  </r>
  <r>
    <x v="14"/>
    <s v="Central"/>
    <n v="67"/>
    <s v="Good"/>
    <n v="7.2"/>
    <n v="1.9"/>
    <n v="248"/>
    <n v="10"/>
    <n v="0.4"/>
    <n v="6.7"/>
    <n v="0.91"/>
    <s v="Pench, Kanhan river"/>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s v="West"/>
    <x v="0"/>
    <s v="Moderate"/>
    <x v="0"/>
    <s v="Good"/>
    <n v="7.2"/>
    <n v="72"/>
    <x v="0"/>
    <n v="5.6"/>
    <n v="0.68"/>
    <n v="6.8"/>
    <s v="Good"/>
    <x v="0"/>
    <s v="Very High"/>
  </r>
  <r>
    <x v="1"/>
    <s v="North"/>
    <x v="1"/>
    <s v="Very Poor"/>
    <x v="1"/>
    <s v="Poor"/>
    <n v="7.8"/>
    <n v="85"/>
    <x v="1"/>
    <n v="3"/>
    <n v="0.42"/>
    <n v="4.2"/>
    <s v="Poor"/>
    <x v="1"/>
    <s v="High"/>
  </r>
  <r>
    <x v="2"/>
    <s v="South"/>
    <x v="2"/>
    <s v="Satisfactory"/>
    <x v="2"/>
    <s v="Good"/>
    <n v="7.1"/>
    <n v="65"/>
    <x v="2"/>
    <n v="7"/>
    <n v="0.74"/>
    <n v="7.4"/>
    <s v="Good"/>
    <x v="2"/>
    <s v="Moderate"/>
  </r>
  <r>
    <x v="3"/>
    <s v="South"/>
    <x v="3"/>
    <s v="Moderate"/>
    <x v="3"/>
    <s v="Good"/>
    <n v="7.3"/>
    <n v="68"/>
    <x v="0"/>
    <n v="6.4"/>
    <n v="0.71"/>
    <n v="7.1"/>
    <s v="Good"/>
    <x v="3"/>
    <s v="Moderate"/>
  </r>
  <r>
    <x v="4"/>
    <s v="South"/>
    <x v="4"/>
    <s v="Satisfactory"/>
    <x v="4"/>
    <s v="Fair"/>
    <n v="7.5"/>
    <n v="70"/>
    <x v="0"/>
    <n v="6"/>
    <n v="0.69"/>
    <n v="6.9"/>
    <s v="Good"/>
    <x v="4"/>
    <s v="High"/>
  </r>
  <r>
    <x v="5"/>
    <s v="East"/>
    <x v="5"/>
    <s v="Poor"/>
    <x v="5"/>
    <s v="Fair"/>
    <n v="7.6"/>
    <n v="78"/>
    <x v="1"/>
    <n v="4.4000000000000004"/>
    <n v="0.51"/>
    <n v="5.0999999999999996"/>
    <s v="Moderate"/>
    <x v="5"/>
    <s v="High"/>
  </r>
  <r>
    <x v="6"/>
    <s v="West"/>
    <x v="6"/>
    <s v="Moderate"/>
    <x v="6"/>
    <s v="Good"/>
    <n v="7.2"/>
    <n v="67"/>
    <x v="0"/>
    <n v="6.6"/>
    <n v="0.73"/>
    <n v="7.3"/>
    <s v="Good"/>
    <x v="6"/>
    <s v="Moderate"/>
  </r>
  <r>
    <x v="7"/>
    <s v="West"/>
    <x v="7"/>
    <s v="Moderate"/>
    <x v="7"/>
    <s v="Fair"/>
    <n v="7.4"/>
    <n v="74"/>
    <x v="0"/>
    <n v="5.2"/>
    <n v="0.62"/>
    <n v="6.2"/>
    <s v="Moderate"/>
    <x v="7"/>
    <s v="Moderate"/>
  </r>
  <r>
    <x v="8"/>
    <s v="North"/>
    <x v="8"/>
    <s v="Moderate"/>
    <x v="8"/>
    <s v="Fair"/>
    <n v="7.6"/>
    <n v="76"/>
    <x v="1"/>
    <n v="4.8"/>
    <n v="0.55000000000000004"/>
    <n v="5.5"/>
    <s v="Moderate"/>
    <x v="8"/>
    <s v="Moderate"/>
  </r>
  <r>
    <x v="9"/>
    <s v="North"/>
    <x v="9"/>
    <s v="Poor"/>
    <x v="9"/>
    <s v="Fair"/>
    <n v="7.7"/>
    <n v="80"/>
    <x v="1"/>
    <n v="4"/>
    <n v="0.47"/>
    <n v="4.7"/>
    <s v="Poor"/>
    <x v="9"/>
    <s v="Moderate"/>
  </r>
  <r>
    <x v="10"/>
    <s v="West"/>
    <x v="10"/>
    <s v="Moderate"/>
    <x v="10"/>
    <s v="Good"/>
    <n v="7.3"/>
    <n v="69"/>
    <x v="0"/>
    <n v="6.2"/>
    <n v="0.76"/>
    <n v="7.6"/>
    <s v="Good"/>
    <x v="10"/>
    <s v="High"/>
  </r>
  <r>
    <x v="11"/>
    <s v="South"/>
    <x v="11"/>
    <s v="Satisfactory"/>
    <x v="11"/>
    <s v="Good"/>
    <n v="7"/>
    <n v="61"/>
    <x v="2"/>
    <n v="7.8"/>
    <n v="0.79"/>
    <n v="7.9"/>
    <s v="Good"/>
    <x v="11"/>
    <s v="Very High"/>
  </r>
  <r>
    <x v="12"/>
    <s v="North"/>
    <x v="12"/>
    <s v="Satisfactory"/>
    <x v="12"/>
    <s v="Excellent"/>
    <n v="7.1"/>
    <n v="58"/>
    <x v="2"/>
    <n v="8.4"/>
    <n v="0.84"/>
    <n v="8.4"/>
    <s v="Excellent"/>
    <x v="12"/>
    <s v="Low"/>
  </r>
  <r>
    <x v="13"/>
    <s v="Central"/>
    <x v="13"/>
    <s v="Moderate"/>
    <x v="13"/>
    <s v="Good"/>
    <n v="7.2"/>
    <n v="66"/>
    <x v="0"/>
    <n v="6.8"/>
    <n v="0.67"/>
    <n v="6.7"/>
    <s v="Good"/>
    <x v="13"/>
    <s v="Moderate"/>
  </r>
  <r>
    <x v="14"/>
    <s v="Central"/>
    <x v="14"/>
    <s v="Moderate"/>
    <x v="14"/>
    <s v="Good"/>
    <n v="7.2"/>
    <n v="64"/>
    <x v="2"/>
    <n v="7.2"/>
    <n v="0.7"/>
    <n v="7"/>
    <s v="Good"/>
    <x v="14"/>
    <s v="Moderate"/>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r>
  <r>
    <x v="1"/>
    <x v="1"/>
  </r>
  <r>
    <x v="2"/>
    <x v="2"/>
  </r>
  <r>
    <x v="3"/>
    <x v="2"/>
  </r>
  <r>
    <x v="4"/>
    <x v="1"/>
  </r>
  <r>
    <x v="5"/>
    <x v="1"/>
  </r>
  <r>
    <x v="6"/>
    <x v="2"/>
  </r>
  <r>
    <x v="7"/>
    <x v="2"/>
  </r>
  <r>
    <x v="8"/>
    <x v="2"/>
  </r>
  <r>
    <x v="9"/>
    <x v="2"/>
  </r>
  <r>
    <x v="10"/>
    <x v="1"/>
  </r>
  <r>
    <x v="11"/>
    <x v="0"/>
  </r>
  <r>
    <x v="12"/>
    <x v="3"/>
  </r>
  <r>
    <x v="13"/>
    <x v="2"/>
  </r>
  <r>
    <x v="1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9" firstHeaderRow="1" firstDataRow="1" firstDataCol="1"/>
  <pivotFields count="12">
    <pivotField axis="axisRow" showAll="0">
      <items count="16">
        <item x="7"/>
        <item x="2"/>
        <item x="13"/>
        <item x="12"/>
        <item x="4"/>
        <item x="1"/>
        <item x="3"/>
        <item x="8"/>
        <item x="11"/>
        <item x="5"/>
        <item x="9"/>
        <item x="0"/>
        <item x="14"/>
        <item x="6"/>
        <item x="10"/>
        <item t="default"/>
      </items>
    </pivotField>
    <pivotField showAll="0"/>
    <pivotField dataField="1" showAll="0"/>
    <pivotField showAll="0"/>
    <pivotField numFmtId="164" showAll="0"/>
    <pivotField numFmtId="164" showAll="0"/>
    <pivotField numFmtId="1" showAll="0"/>
    <pivotField numFmtId="1" showAll="0"/>
    <pivotField numFmtId="164" showAll="0"/>
    <pivotField numFmtId="164" showAll="0"/>
    <pivotField numFmtId="9" showAll="0"/>
    <pivotField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WQI (0-100)" fld="2"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9" firstHeaderRow="1" firstDataRow="1" firstDataCol="1"/>
  <pivotFields count="11">
    <pivotField axis="axisRow" showAll="0">
      <items count="16">
        <item x="7"/>
        <item x="2"/>
        <item x="13"/>
        <item x="12"/>
        <item x="4"/>
        <item x="1"/>
        <item x="3"/>
        <item x="8"/>
        <item x="11"/>
        <item x="5"/>
        <item x="9"/>
        <item x="0"/>
        <item x="14"/>
        <item x="6"/>
        <item x="10"/>
        <item t="default"/>
      </items>
    </pivotField>
    <pivotField showAll="0"/>
    <pivotField dataField="1" numFmtId="164" showAll="0"/>
    <pivotField showAll="0"/>
    <pivotField numFmtId="164" showAll="0"/>
    <pivotField numFmtId="164" showAll="0"/>
    <pivotField numFmtId="164" showAll="0"/>
    <pivotField numFmtId="164" showAll="0"/>
    <pivotField numFmtId="164" showAll="0"/>
    <pivotField numFmtId="164" showAll="0"/>
    <pivotField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Overall Risk (1-10)" fld="2"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 chart="0" format="13">
      <pivotArea type="data" outline="0" fieldPosition="0">
        <references count="2">
          <reference field="4294967294" count="1" selected="0">
            <x v="0"/>
          </reference>
          <reference field="0" count="1" selected="0">
            <x v="12"/>
          </reference>
        </references>
      </pivotArea>
    </chartFormat>
    <chartFormat chart="0" format="14">
      <pivotArea type="data" outline="0" fieldPosition="0">
        <references count="2">
          <reference field="4294967294" count="1" selected="0">
            <x v="0"/>
          </reference>
          <reference field="0" count="1" selected="0">
            <x v="13"/>
          </reference>
        </references>
      </pivotArea>
    </chartFormat>
    <chartFormat chart="0" format="15">
      <pivotArea type="data" outline="0" fieldPosition="0">
        <references count="2">
          <reference field="4294967294" count="1" selected="0">
            <x v="0"/>
          </reference>
          <reference field="0"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9" firstHeaderRow="1" firstDataRow="1" firstDataCol="1"/>
  <pivotFields count="15">
    <pivotField axis="axisRow" showAll="0">
      <items count="16">
        <item x="7"/>
        <item x="2"/>
        <item x="13"/>
        <item x="12"/>
        <item x="4"/>
        <item x="1"/>
        <item x="3"/>
        <item x="8"/>
        <item x="11"/>
        <item x="5"/>
        <item x="9"/>
        <item x="0"/>
        <item x="14"/>
        <item x="6"/>
        <item x="10"/>
        <item t="default"/>
      </items>
    </pivotField>
    <pivotField showAll="0"/>
    <pivotField dataField="1" showAll="0">
      <items count="16">
        <item x="12"/>
        <item x="11"/>
        <item x="2"/>
        <item x="4"/>
        <item x="6"/>
        <item x="3"/>
        <item x="14"/>
        <item x="13"/>
        <item x="10"/>
        <item x="0"/>
        <item x="7"/>
        <item x="8"/>
        <item x="5"/>
        <item x="9"/>
        <item x="1"/>
        <item t="default"/>
      </items>
    </pivotField>
    <pivotField showAll="0"/>
    <pivotField showAll="0">
      <items count="16">
        <item x="1"/>
        <item x="9"/>
        <item x="5"/>
        <item x="8"/>
        <item x="7"/>
        <item x="4"/>
        <item x="10"/>
        <item x="0"/>
        <item x="13"/>
        <item x="3"/>
        <item x="14"/>
        <item x="6"/>
        <item x="2"/>
        <item x="11"/>
        <item x="12"/>
        <item t="default"/>
      </items>
    </pivotField>
    <pivotField showAll="0"/>
    <pivotField numFmtId="164" showAll="0"/>
    <pivotField numFmtId="1" showAll="0"/>
    <pivotField showAll="0"/>
    <pivotField numFmtId="164" showAll="0"/>
    <pivotField numFmtId="9" showAll="0"/>
    <pivotField numFmtId="164" showAll="0"/>
    <pivotField showAll="0"/>
    <pivotField numFmtId="164" showAll="0">
      <items count="16">
        <item x="12"/>
        <item x="14"/>
        <item x="2"/>
        <item x="13"/>
        <item x="6"/>
        <item x="3"/>
        <item x="8"/>
        <item x="9"/>
        <item x="7"/>
        <item x="10"/>
        <item x="1"/>
        <item x="5"/>
        <item x="4"/>
        <item x="0"/>
        <item x="11"/>
        <item t="default"/>
      </items>
    </pivotField>
    <pivotField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AQI (2024)" fld="2"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C331CD-984A-4D4D-B73F-F7D8FD1FCBA6}"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9" firstHeaderRow="1" firstDataRow="1" firstDataCol="1"/>
  <pivotFields count="15">
    <pivotField axis="axisRow" showAll="0">
      <items count="16">
        <item x="7"/>
        <item x="2"/>
        <item x="13"/>
        <item x="12"/>
        <item x="4"/>
        <item x="1"/>
        <item x="3"/>
        <item x="8"/>
        <item x="11"/>
        <item x="5"/>
        <item x="9"/>
        <item x="0"/>
        <item x="14"/>
        <item x="6"/>
        <item x="10"/>
        <item t="default"/>
      </items>
    </pivotField>
    <pivotField showAll="0"/>
    <pivotField dataField="1" showAll="0">
      <items count="16">
        <item x="12"/>
        <item x="11"/>
        <item x="2"/>
        <item x="4"/>
        <item x="6"/>
        <item x="3"/>
        <item x="14"/>
        <item x="13"/>
        <item x="10"/>
        <item x="0"/>
        <item x="7"/>
        <item x="8"/>
        <item x="5"/>
        <item x="9"/>
        <item x="1"/>
        <item t="default"/>
      </items>
    </pivotField>
    <pivotField showAll="0"/>
    <pivotField showAll="0">
      <items count="16">
        <item x="1"/>
        <item x="9"/>
        <item x="5"/>
        <item x="8"/>
        <item x="7"/>
        <item x="4"/>
        <item x="10"/>
        <item x="0"/>
        <item x="13"/>
        <item x="3"/>
        <item x="14"/>
        <item x="6"/>
        <item x="2"/>
        <item x="11"/>
        <item x="12"/>
        <item t="default"/>
      </items>
    </pivotField>
    <pivotField showAll="0"/>
    <pivotField numFmtId="164" showAll="0"/>
    <pivotField numFmtId="1" showAll="0"/>
    <pivotField showAll="0"/>
    <pivotField numFmtId="164" showAll="0"/>
    <pivotField numFmtId="9" showAll="0"/>
    <pivotField numFmtId="164" showAll="0"/>
    <pivotField showAll="0"/>
    <pivotField numFmtId="164" showAll="0">
      <items count="16">
        <item x="12"/>
        <item x="14"/>
        <item x="2"/>
        <item x="13"/>
        <item x="6"/>
        <item x="3"/>
        <item x="8"/>
        <item x="9"/>
        <item x="7"/>
        <item x="10"/>
        <item x="1"/>
        <item x="5"/>
        <item x="4"/>
        <item x="0"/>
        <item x="11"/>
        <item t="default"/>
      </items>
    </pivotField>
    <pivotField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AQI (2024)"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5C4110-2BAC-43F1-AE78-D548865C9D57}"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9" firstHeaderRow="1" firstDataRow="1" firstDataCol="1"/>
  <pivotFields count="15">
    <pivotField axis="axisRow" showAll="0">
      <items count="16">
        <item x="7"/>
        <item x="2"/>
        <item x="13"/>
        <item x="12"/>
        <item x="4"/>
        <item x="1"/>
        <item x="3"/>
        <item x="8"/>
        <item x="11"/>
        <item x="5"/>
        <item x="9"/>
        <item x="0"/>
        <item x="14"/>
        <item x="6"/>
        <item x="10"/>
        <item t="default"/>
      </items>
    </pivotField>
    <pivotField showAll="0"/>
    <pivotField showAll="0">
      <items count="16">
        <item x="12"/>
        <item x="11"/>
        <item x="2"/>
        <item x="4"/>
        <item x="6"/>
        <item x="3"/>
        <item x="14"/>
        <item x="13"/>
        <item x="10"/>
        <item x="0"/>
        <item x="7"/>
        <item x="8"/>
        <item x="5"/>
        <item x="9"/>
        <item x="1"/>
        <item t="default"/>
      </items>
    </pivotField>
    <pivotField showAll="0"/>
    <pivotField dataField="1" showAll="0">
      <items count="16">
        <item x="1"/>
        <item x="9"/>
        <item x="5"/>
        <item x="8"/>
        <item x="7"/>
        <item x="4"/>
        <item x="10"/>
        <item x="0"/>
        <item x="13"/>
        <item x="3"/>
        <item x="14"/>
        <item x="6"/>
        <item x="2"/>
        <item x="11"/>
        <item x="12"/>
        <item t="default"/>
      </items>
    </pivotField>
    <pivotField showAll="0"/>
    <pivotField numFmtId="164" showAll="0"/>
    <pivotField numFmtId="1" showAll="0"/>
    <pivotField showAll="0"/>
    <pivotField numFmtId="164" showAll="0"/>
    <pivotField numFmtId="9" showAll="0"/>
    <pivotField numFmtId="164" showAll="0"/>
    <pivotField showAll="0"/>
    <pivotField numFmtId="164" showAll="0">
      <items count="16">
        <item x="12"/>
        <item x="14"/>
        <item x="2"/>
        <item x="13"/>
        <item x="6"/>
        <item x="3"/>
        <item x="8"/>
        <item x="9"/>
        <item x="7"/>
        <item x="10"/>
        <item x="1"/>
        <item x="5"/>
        <item x="4"/>
        <item x="0"/>
        <item x="11"/>
        <item t="default"/>
      </items>
    </pivotField>
    <pivotField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WQI (0-100)"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DDCA1B-B98F-4D68-AAF4-7CAEF047307F}"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2">
    <pivotField dataField="1" numFmtId="164" showAll="0">
      <items count="16">
        <item x="12"/>
        <item x="14"/>
        <item x="2"/>
        <item x="13"/>
        <item x="6"/>
        <item x="3"/>
        <item x="8"/>
        <item x="9"/>
        <item x="7"/>
        <item x="10"/>
        <item x="1"/>
        <item x="5"/>
        <item x="4"/>
        <item x="0"/>
        <item x="11"/>
        <item t="default"/>
      </items>
    </pivotField>
    <pivotField axis="axisRow" showAll="0">
      <items count="5">
        <item x="1"/>
        <item x="3"/>
        <item x="2"/>
        <item x="0"/>
        <item t="default"/>
      </items>
    </pivotField>
  </pivotFields>
  <rowFields count="1">
    <field x="1"/>
  </rowFields>
  <rowItems count="5">
    <i>
      <x/>
    </i>
    <i>
      <x v="1"/>
    </i>
    <i>
      <x v="2"/>
    </i>
    <i>
      <x v="3"/>
    </i>
    <i t="grand">
      <x/>
    </i>
  </rowItems>
  <colItems count="1">
    <i/>
  </colItems>
  <dataFields count="1">
    <dataField name="Sum of Overall Risk (1-10)" fld="0"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5FA80E-F67F-468A-96C9-12EA125349CB}" name="PivotTable1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22" firstHeaderRow="1" firstDataRow="1" firstDataCol="1"/>
  <pivotFields count="15">
    <pivotField axis="axisRow" showAll="0">
      <items count="16">
        <item x="7"/>
        <item x="2"/>
        <item x="13"/>
        <item x="12"/>
        <item x="4"/>
        <item x="1"/>
        <item x="3"/>
        <item x="8"/>
        <item x="11"/>
        <item x="5"/>
        <item x="9"/>
        <item x="0"/>
        <item x="14"/>
        <item x="6"/>
        <item x="10"/>
        <item t="default"/>
      </items>
    </pivotField>
    <pivotField showAll="0"/>
    <pivotField showAll="0">
      <items count="16">
        <item x="12"/>
        <item x="11"/>
        <item x="2"/>
        <item x="4"/>
        <item x="6"/>
        <item x="3"/>
        <item x="14"/>
        <item x="13"/>
        <item x="10"/>
        <item x="0"/>
        <item x="7"/>
        <item x="8"/>
        <item x="5"/>
        <item x="9"/>
        <item x="1"/>
        <item t="default"/>
      </items>
    </pivotField>
    <pivotField showAll="0"/>
    <pivotField showAll="0">
      <items count="16">
        <item x="1"/>
        <item x="9"/>
        <item x="5"/>
        <item x="8"/>
        <item x="7"/>
        <item x="4"/>
        <item x="10"/>
        <item x="0"/>
        <item x="13"/>
        <item x="3"/>
        <item x="14"/>
        <item x="6"/>
        <item x="2"/>
        <item x="11"/>
        <item x="12"/>
        <item t="default"/>
      </items>
    </pivotField>
    <pivotField showAll="0"/>
    <pivotField numFmtId="164" showAll="0"/>
    <pivotField dataField="1" numFmtId="1" showAll="0"/>
    <pivotField axis="axisRow" showAll="0">
      <items count="4">
        <item x="2"/>
        <item x="0"/>
        <item x="1"/>
        <item t="default"/>
      </items>
    </pivotField>
    <pivotField numFmtId="164" showAll="0"/>
    <pivotField numFmtId="9" showAll="0"/>
    <pivotField numFmtId="164" showAll="0"/>
    <pivotField showAll="0"/>
    <pivotField numFmtId="164" showAll="0">
      <items count="16">
        <item x="12"/>
        <item x="14"/>
        <item x="2"/>
        <item x="13"/>
        <item x="6"/>
        <item x="3"/>
        <item x="8"/>
        <item x="9"/>
        <item x="7"/>
        <item x="10"/>
        <item x="1"/>
        <item x="5"/>
        <item x="4"/>
        <item x="0"/>
        <item x="11"/>
        <item t="default"/>
      </items>
    </pivotField>
    <pivotField showAll="0"/>
  </pivotFields>
  <rowFields count="2">
    <field x="8"/>
    <field x="0"/>
  </rowFields>
  <rowItems count="19">
    <i>
      <x/>
    </i>
    <i r="1">
      <x v="1"/>
    </i>
    <i r="1">
      <x v="3"/>
    </i>
    <i r="1">
      <x v="8"/>
    </i>
    <i r="1">
      <x v="12"/>
    </i>
    <i>
      <x v="1"/>
    </i>
    <i r="1">
      <x/>
    </i>
    <i r="1">
      <x v="2"/>
    </i>
    <i r="1">
      <x v="4"/>
    </i>
    <i r="1">
      <x v="6"/>
    </i>
    <i r="1">
      <x v="11"/>
    </i>
    <i r="1">
      <x v="13"/>
    </i>
    <i r="1">
      <x v="14"/>
    </i>
    <i>
      <x v="2"/>
    </i>
    <i r="1">
      <x v="5"/>
    </i>
    <i r="1">
      <x v="7"/>
    </i>
    <i r="1">
      <x v="9"/>
    </i>
    <i r="1">
      <x v="10"/>
    </i>
    <i t="grand">
      <x/>
    </i>
  </rowItems>
  <colItems count="1">
    <i/>
  </colItems>
  <dataFields count="1">
    <dataField name="Sum of Avg Noise (dB)" fld="7" baseField="0" baseItem="0"/>
  </dataFields>
  <chartFormats count="32">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3">
          <reference field="4294967294" count="1" selected="0">
            <x v="0"/>
          </reference>
          <reference field="0" count="1" selected="0">
            <x v="1"/>
          </reference>
          <reference field="8" count="1" selected="0">
            <x v="0"/>
          </reference>
        </references>
      </pivotArea>
    </chartFormat>
    <chartFormat chart="2" format="8">
      <pivotArea type="data" outline="0" fieldPosition="0">
        <references count="3">
          <reference field="4294967294" count="1" selected="0">
            <x v="0"/>
          </reference>
          <reference field="0" count="1" selected="0">
            <x v="3"/>
          </reference>
          <reference field="8" count="1" selected="0">
            <x v="0"/>
          </reference>
        </references>
      </pivotArea>
    </chartFormat>
    <chartFormat chart="2" format="9">
      <pivotArea type="data" outline="0" fieldPosition="0">
        <references count="3">
          <reference field="4294967294" count="1" selected="0">
            <x v="0"/>
          </reference>
          <reference field="0" count="1" selected="0">
            <x v="8"/>
          </reference>
          <reference field="8" count="1" selected="0">
            <x v="0"/>
          </reference>
        </references>
      </pivotArea>
    </chartFormat>
    <chartFormat chart="2" format="10">
      <pivotArea type="data" outline="0" fieldPosition="0">
        <references count="3">
          <reference field="4294967294" count="1" selected="0">
            <x v="0"/>
          </reference>
          <reference field="0" count="1" selected="0">
            <x v="12"/>
          </reference>
          <reference field="8" count="1" selected="0">
            <x v="0"/>
          </reference>
        </references>
      </pivotArea>
    </chartFormat>
    <chartFormat chart="2" format="11">
      <pivotArea type="data" outline="0" fieldPosition="0">
        <references count="3">
          <reference field="4294967294" count="1" selected="0">
            <x v="0"/>
          </reference>
          <reference field="0" count="1" selected="0">
            <x v="0"/>
          </reference>
          <reference field="8" count="1" selected="0">
            <x v="1"/>
          </reference>
        </references>
      </pivotArea>
    </chartFormat>
    <chartFormat chart="2" format="12">
      <pivotArea type="data" outline="0" fieldPosition="0">
        <references count="3">
          <reference field="4294967294" count="1" selected="0">
            <x v="0"/>
          </reference>
          <reference field="0" count="1" selected="0">
            <x v="2"/>
          </reference>
          <reference field="8" count="1" selected="0">
            <x v="1"/>
          </reference>
        </references>
      </pivotArea>
    </chartFormat>
    <chartFormat chart="2" format="13">
      <pivotArea type="data" outline="0" fieldPosition="0">
        <references count="3">
          <reference field="4294967294" count="1" selected="0">
            <x v="0"/>
          </reference>
          <reference field="0" count="1" selected="0">
            <x v="4"/>
          </reference>
          <reference field="8" count="1" selected="0">
            <x v="1"/>
          </reference>
        </references>
      </pivotArea>
    </chartFormat>
    <chartFormat chart="2" format="14">
      <pivotArea type="data" outline="0" fieldPosition="0">
        <references count="3">
          <reference field="4294967294" count="1" selected="0">
            <x v="0"/>
          </reference>
          <reference field="0" count="1" selected="0">
            <x v="6"/>
          </reference>
          <reference field="8" count="1" selected="0">
            <x v="1"/>
          </reference>
        </references>
      </pivotArea>
    </chartFormat>
    <chartFormat chart="2" format="15">
      <pivotArea type="data" outline="0" fieldPosition="0">
        <references count="3">
          <reference field="4294967294" count="1" selected="0">
            <x v="0"/>
          </reference>
          <reference field="0" count="1" selected="0">
            <x v="11"/>
          </reference>
          <reference field="8" count="1" selected="0">
            <x v="1"/>
          </reference>
        </references>
      </pivotArea>
    </chartFormat>
    <chartFormat chart="2" format="16">
      <pivotArea type="data" outline="0" fieldPosition="0">
        <references count="3">
          <reference field="4294967294" count="1" selected="0">
            <x v="0"/>
          </reference>
          <reference field="0" count="1" selected="0">
            <x v="13"/>
          </reference>
          <reference field="8" count="1" selected="0">
            <x v="1"/>
          </reference>
        </references>
      </pivotArea>
    </chartFormat>
    <chartFormat chart="2" format="17">
      <pivotArea type="data" outline="0" fieldPosition="0">
        <references count="3">
          <reference field="4294967294" count="1" selected="0">
            <x v="0"/>
          </reference>
          <reference field="0" count="1" selected="0">
            <x v="14"/>
          </reference>
          <reference field="8" count="1" selected="0">
            <x v="1"/>
          </reference>
        </references>
      </pivotArea>
    </chartFormat>
    <chartFormat chart="2" format="18">
      <pivotArea type="data" outline="0" fieldPosition="0">
        <references count="3">
          <reference field="4294967294" count="1" selected="0">
            <x v="0"/>
          </reference>
          <reference field="0" count="1" selected="0">
            <x v="5"/>
          </reference>
          <reference field="8" count="1" selected="0">
            <x v="2"/>
          </reference>
        </references>
      </pivotArea>
    </chartFormat>
    <chartFormat chart="2" format="19">
      <pivotArea type="data" outline="0" fieldPosition="0">
        <references count="3">
          <reference field="4294967294" count="1" selected="0">
            <x v="0"/>
          </reference>
          <reference field="0" count="1" selected="0">
            <x v="7"/>
          </reference>
          <reference field="8" count="1" selected="0">
            <x v="2"/>
          </reference>
        </references>
      </pivotArea>
    </chartFormat>
    <chartFormat chart="2" format="20">
      <pivotArea type="data" outline="0" fieldPosition="0">
        <references count="3">
          <reference field="4294967294" count="1" selected="0">
            <x v="0"/>
          </reference>
          <reference field="0" count="1" selected="0">
            <x v="9"/>
          </reference>
          <reference field="8" count="1" selected="0">
            <x v="2"/>
          </reference>
        </references>
      </pivotArea>
    </chartFormat>
    <chartFormat chart="2" format="21">
      <pivotArea type="data" outline="0" fieldPosition="0">
        <references count="3">
          <reference field="4294967294" count="1" selected="0">
            <x v="0"/>
          </reference>
          <reference field="0" count="1" selected="0">
            <x v="10"/>
          </reference>
          <reference field="8" count="1" selected="0">
            <x v="2"/>
          </reference>
        </references>
      </pivotArea>
    </chartFormat>
    <chartFormat chart="0" format="1">
      <pivotArea type="data" outline="0" fieldPosition="0">
        <references count="3">
          <reference field="4294967294" count="1" selected="0">
            <x v="0"/>
          </reference>
          <reference field="0" count="1" selected="0">
            <x v="1"/>
          </reference>
          <reference field="8" count="1" selected="0">
            <x v="0"/>
          </reference>
        </references>
      </pivotArea>
    </chartFormat>
    <chartFormat chart="0" format="2">
      <pivotArea type="data" outline="0" fieldPosition="0">
        <references count="3">
          <reference field="4294967294" count="1" selected="0">
            <x v="0"/>
          </reference>
          <reference field="0" count="1" selected="0">
            <x v="3"/>
          </reference>
          <reference field="8" count="1" selected="0">
            <x v="0"/>
          </reference>
        </references>
      </pivotArea>
    </chartFormat>
    <chartFormat chart="0" format="3">
      <pivotArea type="data" outline="0" fieldPosition="0">
        <references count="3">
          <reference field="4294967294" count="1" selected="0">
            <x v="0"/>
          </reference>
          <reference field="0" count="1" selected="0">
            <x v="8"/>
          </reference>
          <reference field="8" count="1" selected="0">
            <x v="0"/>
          </reference>
        </references>
      </pivotArea>
    </chartFormat>
    <chartFormat chart="0" format="4">
      <pivotArea type="data" outline="0" fieldPosition="0">
        <references count="3">
          <reference field="4294967294" count="1" selected="0">
            <x v="0"/>
          </reference>
          <reference field="0" count="1" selected="0">
            <x v="12"/>
          </reference>
          <reference field="8" count="1" selected="0">
            <x v="0"/>
          </reference>
        </references>
      </pivotArea>
    </chartFormat>
    <chartFormat chart="0" format="5">
      <pivotArea type="data" outline="0" fieldPosition="0">
        <references count="3">
          <reference field="4294967294" count="1" selected="0">
            <x v="0"/>
          </reference>
          <reference field="0" count="1" selected="0">
            <x v="0"/>
          </reference>
          <reference field="8" count="1" selected="0">
            <x v="1"/>
          </reference>
        </references>
      </pivotArea>
    </chartFormat>
    <chartFormat chart="0" format="6">
      <pivotArea type="data" outline="0" fieldPosition="0">
        <references count="3">
          <reference field="4294967294" count="1" selected="0">
            <x v="0"/>
          </reference>
          <reference field="0" count="1" selected="0">
            <x v="2"/>
          </reference>
          <reference field="8" count="1" selected="0">
            <x v="1"/>
          </reference>
        </references>
      </pivotArea>
    </chartFormat>
    <chartFormat chart="0" format="7">
      <pivotArea type="data" outline="0" fieldPosition="0">
        <references count="3">
          <reference field="4294967294" count="1" selected="0">
            <x v="0"/>
          </reference>
          <reference field="0" count="1" selected="0">
            <x v="4"/>
          </reference>
          <reference field="8" count="1" selected="0">
            <x v="1"/>
          </reference>
        </references>
      </pivotArea>
    </chartFormat>
    <chartFormat chart="0" format="8">
      <pivotArea type="data" outline="0" fieldPosition="0">
        <references count="3">
          <reference field="4294967294" count="1" selected="0">
            <x v="0"/>
          </reference>
          <reference field="0" count="1" selected="0">
            <x v="6"/>
          </reference>
          <reference field="8" count="1" selected="0">
            <x v="1"/>
          </reference>
        </references>
      </pivotArea>
    </chartFormat>
    <chartFormat chart="0" format="9">
      <pivotArea type="data" outline="0" fieldPosition="0">
        <references count="3">
          <reference field="4294967294" count="1" selected="0">
            <x v="0"/>
          </reference>
          <reference field="0" count="1" selected="0">
            <x v="11"/>
          </reference>
          <reference field="8" count="1" selected="0">
            <x v="1"/>
          </reference>
        </references>
      </pivotArea>
    </chartFormat>
    <chartFormat chart="0" format="10">
      <pivotArea type="data" outline="0" fieldPosition="0">
        <references count="3">
          <reference field="4294967294" count="1" selected="0">
            <x v="0"/>
          </reference>
          <reference field="0" count="1" selected="0">
            <x v="13"/>
          </reference>
          <reference field="8" count="1" selected="0">
            <x v="1"/>
          </reference>
        </references>
      </pivotArea>
    </chartFormat>
    <chartFormat chart="0" format="11">
      <pivotArea type="data" outline="0" fieldPosition="0">
        <references count="3">
          <reference field="4294967294" count="1" selected="0">
            <x v="0"/>
          </reference>
          <reference field="0" count="1" selected="0">
            <x v="14"/>
          </reference>
          <reference field="8" count="1" selected="0">
            <x v="1"/>
          </reference>
        </references>
      </pivotArea>
    </chartFormat>
    <chartFormat chart="0" format="12">
      <pivotArea type="data" outline="0" fieldPosition="0">
        <references count="3">
          <reference field="4294967294" count="1" selected="0">
            <x v="0"/>
          </reference>
          <reference field="0" count="1" selected="0">
            <x v="5"/>
          </reference>
          <reference field="8" count="1" selected="0">
            <x v="2"/>
          </reference>
        </references>
      </pivotArea>
    </chartFormat>
    <chartFormat chart="0" format="13">
      <pivotArea type="data" outline="0" fieldPosition="0">
        <references count="3">
          <reference field="4294967294" count="1" selected="0">
            <x v="0"/>
          </reference>
          <reference field="0" count="1" selected="0">
            <x v="7"/>
          </reference>
          <reference field="8" count="1" selected="0">
            <x v="2"/>
          </reference>
        </references>
      </pivotArea>
    </chartFormat>
    <chartFormat chart="0" format="14">
      <pivotArea type="data" outline="0" fieldPosition="0">
        <references count="3">
          <reference field="4294967294" count="1" selected="0">
            <x v="0"/>
          </reference>
          <reference field="0" count="1" selected="0">
            <x v="9"/>
          </reference>
          <reference field="8" count="1" selected="0">
            <x v="2"/>
          </reference>
        </references>
      </pivotArea>
    </chartFormat>
    <chartFormat chart="0" format="15">
      <pivotArea type="data" outline="0" fieldPosition="0">
        <references count="3">
          <reference field="4294967294" count="1" selected="0">
            <x v="0"/>
          </reference>
          <reference field="0" count="1" selected="0">
            <x v="1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3E2C9B-885D-4E44-A352-1BA54647C5CE}" name="PivotTable1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9" firstHeaderRow="1" firstDataRow="1" firstDataCol="1"/>
  <pivotFields count="15">
    <pivotField axis="axisRow" showAll="0">
      <items count="16">
        <item x="7"/>
        <item x="2"/>
        <item x="13"/>
        <item x="12"/>
        <item x="4"/>
        <item x="1"/>
        <item x="3"/>
        <item x="8"/>
        <item x="11"/>
        <item x="5"/>
        <item x="9"/>
        <item x="0"/>
        <item x="14"/>
        <item x="6"/>
        <item x="10"/>
        <item t="default"/>
      </items>
    </pivotField>
    <pivotField showAll="0"/>
    <pivotField showAll="0">
      <items count="16">
        <item x="12"/>
        <item x="11"/>
        <item x="2"/>
        <item x="4"/>
        <item x="6"/>
        <item x="3"/>
        <item x="14"/>
        <item x="13"/>
        <item x="10"/>
        <item x="0"/>
        <item x="7"/>
        <item x="8"/>
        <item x="5"/>
        <item x="9"/>
        <item x="1"/>
        <item t="default"/>
      </items>
    </pivotField>
    <pivotField showAll="0"/>
    <pivotField showAll="0">
      <items count="16">
        <item x="1"/>
        <item x="9"/>
        <item x="5"/>
        <item x="8"/>
        <item x="7"/>
        <item x="4"/>
        <item x="10"/>
        <item x="0"/>
        <item x="13"/>
        <item x="3"/>
        <item x="14"/>
        <item x="6"/>
        <item x="2"/>
        <item x="11"/>
        <item x="12"/>
        <item t="default"/>
      </items>
    </pivotField>
    <pivotField showAll="0"/>
    <pivotField numFmtId="164" showAll="0"/>
    <pivotField numFmtId="1" showAll="0"/>
    <pivotField showAll="0"/>
    <pivotField numFmtId="164" showAll="0"/>
    <pivotField numFmtId="9" showAll="0"/>
    <pivotField dataField="1" numFmtId="164" showAll="0"/>
    <pivotField showAll="0"/>
    <pivotField numFmtId="164" showAll="0">
      <items count="16">
        <item x="12"/>
        <item x="14"/>
        <item x="2"/>
        <item x="13"/>
        <item x="6"/>
        <item x="3"/>
        <item x="8"/>
        <item x="9"/>
        <item x="7"/>
        <item x="10"/>
        <item x="1"/>
        <item x="5"/>
        <item x="4"/>
        <item x="0"/>
        <item x="11"/>
        <item t="default"/>
      </items>
    </pivotField>
    <pivotField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Waste Score (0-10)"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CA5A92-E3D4-43F5-A129-DCB556C49DF5}" name="PivotTable17"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location ref="A3:B18" firstHeaderRow="1" firstDataRow="1" firstDataCol="1"/>
  <pivotFields count="15">
    <pivotField axis="axisRow" showAll="0">
      <items count="16">
        <item x="7"/>
        <item x="2"/>
        <item x="13"/>
        <item x="12"/>
        <item x="4"/>
        <item x="1"/>
        <item x="3"/>
        <item x="8"/>
        <item x="11"/>
        <item x="5"/>
        <item x="9"/>
        <item x="0"/>
        <item x="14"/>
        <item x="6"/>
        <item x="10"/>
        <item t="default"/>
      </items>
    </pivotField>
    <pivotField showAll="0"/>
    <pivotField showAll="0">
      <items count="16">
        <item x="12"/>
        <item x="11"/>
        <item x="2"/>
        <item x="4"/>
        <item x="6"/>
        <item x="3"/>
        <item x="14"/>
        <item x="13"/>
        <item x="10"/>
        <item x="0"/>
        <item x="7"/>
        <item x="8"/>
        <item x="5"/>
        <item x="9"/>
        <item x="1"/>
        <item t="default"/>
      </items>
    </pivotField>
    <pivotField showAll="0"/>
    <pivotField showAll="0">
      <items count="16">
        <item x="1"/>
        <item x="9"/>
        <item x="5"/>
        <item x="8"/>
        <item x="7"/>
        <item x="4"/>
        <item x="10"/>
        <item x="0"/>
        <item x="13"/>
        <item x="3"/>
        <item x="14"/>
        <item x="6"/>
        <item x="2"/>
        <item x="11"/>
        <item x="12"/>
        <item t="default"/>
      </items>
    </pivotField>
    <pivotField showAll="0"/>
    <pivotField numFmtId="164" showAll="0"/>
    <pivotField numFmtId="1" showAll="0"/>
    <pivotField showAll="0"/>
    <pivotField numFmtId="164" showAll="0"/>
    <pivotField numFmtId="9" showAll="0"/>
    <pivotField numFmtId="164" showAll="0"/>
    <pivotField showAll="0"/>
    <pivotField dataField="1" numFmtId="164" showAll="0">
      <items count="16">
        <item x="12"/>
        <item x="14"/>
        <item x="2"/>
        <item x="13"/>
        <item x="6"/>
        <item x="3"/>
        <item x="8"/>
        <item x="9"/>
        <item x="7"/>
        <item x="10"/>
        <item x="1"/>
        <item x="5"/>
        <item x="4"/>
        <item x="0"/>
        <item x="11"/>
        <item t="default"/>
      </items>
    </pivotField>
    <pivotField showAll="0"/>
  </pivotFields>
  <rowFields count="1">
    <field x="0"/>
  </rowFields>
  <rowItems count="15">
    <i>
      <x/>
    </i>
    <i>
      <x v="1"/>
    </i>
    <i>
      <x v="2"/>
    </i>
    <i>
      <x v="3"/>
    </i>
    <i>
      <x v="4"/>
    </i>
    <i>
      <x v="5"/>
    </i>
    <i>
      <x v="6"/>
    </i>
    <i>
      <x v="7"/>
    </i>
    <i>
      <x v="8"/>
    </i>
    <i>
      <x v="9"/>
    </i>
    <i>
      <x v="10"/>
    </i>
    <i>
      <x v="11"/>
    </i>
    <i>
      <x v="12"/>
    </i>
    <i>
      <x v="13"/>
    </i>
    <i>
      <x v="14"/>
    </i>
  </rowItems>
  <colItems count="1">
    <i/>
  </colItems>
  <dataFields count="1">
    <dataField name="Sum of Overall Risk (1-10)" fld="13" baseField="0" baseItem="0"/>
  </dataFields>
  <chartFormats count="64">
    <chartFormat chart="0" format="0" series="1">
      <pivotArea type="data" outline="0" fieldPosition="0">
        <references count="1">
          <reference field="4294967294" count="1" selected="0">
            <x v="0"/>
          </reference>
        </references>
      </pivotArea>
    </chartFormat>
    <chartFormat chart="2" format="17" series="1">
      <pivotArea type="data" outline="0" fieldPosition="0">
        <references count="1">
          <reference field="4294967294" count="1" selected="0">
            <x v="0"/>
          </reference>
        </references>
      </pivotArea>
    </chartFormat>
    <chartFormat chart="2" format="18">
      <pivotArea type="data" outline="0" fieldPosition="0">
        <references count="2">
          <reference field="4294967294" count="1" selected="0">
            <x v="0"/>
          </reference>
          <reference field="0" count="1" selected="0">
            <x v="0"/>
          </reference>
        </references>
      </pivotArea>
    </chartFormat>
    <chartFormat chart="2" format="19">
      <pivotArea type="data" outline="0" fieldPosition="0">
        <references count="2">
          <reference field="4294967294" count="1" selected="0">
            <x v="0"/>
          </reference>
          <reference field="0" count="1" selected="0">
            <x v="1"/>
          </reference>
        </references>
      </pivotArea>
    </chartFormat>
    <chartFormat chart="2" format="20">
      <pivotArea type="data" outline="0" fieldPosition="0">
        <references count="2">
          <reference field="4294967294" count="1" selected="0">
            <x v="0"/>
          </reference>
          <reference field="0" count="1" selected="0">
            <x v="2"/>
          </reference>
        </references>
      </pivotArea>
    </chartFormat>
    <chartFormat chart="2" format="21">
      <pivotArea type="data" outline="0" fieldPosition="0">
        <references count="2">
          <reference field="4294967294" count="1" selected="0">
            <x v="0"/>
          </reference>
          <reference field="0" count="1" selected="0">
            <x v="3"/>
          </reference>
        </references>
      </pivotArea>
    </chartFormat>
    <chartFormat chart="2" format="22">
      <pivotArea type="data" outline="0" fieldPosition="0">
        <references count="2">
          <reference field="4294967294" count="1" selected="0">
            <x v="0"/>
          </reference>
          <reference field="0" count="1" selected="0">
            <x v="4"/>
          </reference>
        </references>
      </pivotArea>
    </chartFormat>
    <chartFormat chart="2" format="23">
      <pivotArea type="data" outline="0" fieldPosition="0">
        <references count="2">
          <reference field="4294967294" count="1" selected="0">
            <x v="0"/>
          </reference>
          <reference field="0" count="1" selected="0">
            <x v="5"/>
          </reference>
        </references>
      </pivotArea>
    </chartFormat>
    <chartFormat chart="2" format="24">
      <pivotArea type="data" outline="0" fieldPosition="0">
        <references count="2">
          <reference field="4294967294" count="1" selected="0">
            <x v="0"/>
          </reference>
          <reference field="0" count="1" selected="0">
            <x v="6"/>
          </reference>
        </references>
      </pivotArea>
    </chartFormat>
    <chartFormat chart="2" format="25">
      <pivotArea type="data" outline="0" fieldPosition="0">
        <references count="2">
          <reference field="4294967294" count="1" selected="0">
            <x v="0"/>
          </reference>
          <reference field="0" count="1" selected="0">
            <x v="7"/>
          </reference>
        </references>
      </pivotArea>
    </chartFormat>
    <chartFormat chart="2" format="26">
      <pivotArea type="data" outline="0" fieldPosition="0">
        <references count="2">
          <reference field="4294967294" count="1" selected="0">
            <x v="0"/>
          </reference>
          <reference field="0" count="1" selected="0">
            <x v="8"/>
          </reference>
        </references>
      </pivotArea>
    </chartFormat>
    <chartFormat chart="2" format="27">
      <pivotArea type="data" outline="0" fieldPosition="0">
        <references count="2">
          <reference field="4294967294" count="1" selected="0">
            <x v="0"/>
          </reference>
          <reference field="0" count="1" selected="0">
            <x v="9"/>
          </reference>
        </references>
      </pivotArea>
    </chartFormat>
    <chartFormat chart="2" format="28">
      <pivotArea type="data" outline="0" fieldPosition="0">
        <references count="2">
          <reference field="4294967294" count="1" selected="0">
            <x v="0"/>
          </reference>
          <reference field="0" count="1" selected="0">
            <x v="10"/>
          </reference>
        </references>
      </pivotArea>
    </chartFormat>
    <chartFormat chart="2" format="29">
      <pivotArea type="data" outline="0" fieldPosition="0">
        <references count="2">
          <reference field="4294967294" count="1" selected="0">
            <x v="0"/>
          </reference>
          <reference field="0" count="1" selected="0">
            <x v="11"/>
          </reference>
        </references>
      </pivotArea>
    </chartFormat>
    <chartFormat chart="2" format="30">
      <pivotArea type="data" outline="0" fieldPosition="0">
        <references count="2">
          <reference field="4294967294" count="1" selected="0">
            <x v="0"/>
          </reference>
          <reference field="0" count="1" selected="0">
            <x v="12"/>
          </reference>
        </references>
      </pivotArea>
    </chartFormat>
    <chartFormat chart="2" format="31">
      <pivotArea type="data" outline="0" fieldPosition="0">
        <references count="2">
          <reference field="4294967294" count="1" selected="0">
            <x v="0"/>
          </reference>
          <reference field="0" count="1" selected="0">
            <x v="13"/>
          </reference>
        </references>
      </pivotArea>
    </chartFormat>
    <chartFormat chart="2" format="32">
      <pivotArea type="data" outline="0" fieldPosition="0">
        <references count="2">
          <reference field="4294967294" count="1" selected="0">
            <x v="0"/>
          </reference>
          <reference field="0" count="1" selected="0">
            <x v="1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 chart="0" format="13">
      <pivotArea type="data" outline="0" fieldPosition="0">
        <references count="2">
          <reference field="4294967294" count="1" selected="0">
            <x v="0"/>
          </reference>
          <reference field="0" count="1" selected="0">
            <x v="12"/>
          </reference>
        </references>
      </pivotArea>
    </chartFormat>
    <chartFormat chart="0" format="14">
      <pivotArea type="data" outline="0" fieldPosition="0">
        <references count="2">
          <reference field="4294967294" count="1" selected="0">
            <x v="0"/>
          </reference>
          <reference field="0" count="1" selected="0">
            <x v="13"/>
          </reference>
        </references>
      </pivotArea>
    </chartFormat>
    <chartFormat chart="0" format="15">
      <pivotArea type="data" outline="0" fieldPosition="0">
        <references count="2">
          <reference field="4294967294" count="1" selected="0">
            <x v="0"/>
          </reference>
          <reference field="0" count="1" selected="0">
            <x v="14"/>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0" count="1" selected="0">
            <x v="0"/>
          </reference>
        </references>
      </pivotArea>
    </chartFormat>
    <chartFormat chart="3" format="18">
      <pivotArea type="data" outline="0" fieldPosition="0">
        <references count="2">
          <reference field="4294967294" count="1" selected="0">
            <x v="0"/>
          </reference>
          <reference field="0" count="1" selected="0">
            <x v="1"/>
          </reference>
        </references>
      </pivotArea>
    </chartFormat>
    <chartFormat chart="3" format="19">
      <pivotArea type="data" outline="0" fieldPosition="0">
        <references count="2">
          <reference field="4294967294" count="1" selected="0">
            <x v="0"/>
          </reference>
          <reference field="0" count="1" selected="0">
            <x v="2"/>
          </reference>
        </references>
      </pivotArea>
    </chartFormat>
    <chartFormat chart="3" format="20">
      <pivotArea type="data" outline="0" fieldPosition="0">
        <references count="2">
          <reference field="4294967294" count="1" selected="0">
            <x v="0"/>
          </reference>
          <reference field="0" count="1" selected="0">
            <x v="3"/>
          </reference>
        </references>
      </pivotArea>
    </chartFormat>
    <chartFormat chart="3" format="21">
      <pivotArea type="data" outline="0" fieldPosition="0">
        <references count="2">
          <reference field="4294967294" count="1" selected="0">
            <x v="0"/>
          </reference>
          <reference field="0" count="1" selected="0">
            <x v="4"/>
          </reference>
        </references>
      </pivotArea>
    </chartFormat>
    <chartFormat chart="3" format="22">
      <pivotArea type="data" outline="0" fieldPosition="0">
        <references count="2">
          <reference field="4294967294" count="1" selected="0">
            <x v="0"/>
          </reference>
          <reference field="0" count="1" selected="0">
            <x v="5"/>
          </reference>
        </references>
      </pivotArea>
    </chartFormat>
    <chartFormat chart="3" format="23">
      <pivotArea type="data" outline="0" fieldPosition="0">
        <references count="2">
          <reference field="4294967294" count="1" selected="0">
            <x v="0"/>
          </reference>
          <reference field="0" count="1" selected="0">
            <x v="6"/>
          </reference>
        </references>
      </pivotArea>
    </chartFormat>
    <chartFormat chart="3" format="24">
      <pivotArea type="data" outline="0" fieldPosition="0">
        <references count="2">
          <reference field="4294967294" count="1" selected="0">
            <x v="0"/>
          </reference>
          <reference field="0" count="1" selected="0">
            <x v="7"/>
          </reference>
        </references>
      </pivotArea>
    </chartFormat>
    <chartFormat chart="3" format="25">
      <pivotArea type="data" outline="0" fieldPosition="0">
        <references count="2">
          <reference field="4294967294" count="1" selected="0">
            <x v="0"/>
          </reference>
          <reference field="0" count="1" selected="0">
            <x v="8"/>
          </reference>
        </references>
      </pivotArea>
    </chartFormat>
    <chartFormat chart="3" format="26">
      <pivotArea type="data" outline="0" fieldPosition="0">
        <references count="2">
          <reference field="4294967294" count="1" selected="0">
            <x v="0"/>
          </reference>
          <reference field="0" count="1" selected="0">
            <x v="9"/>
          </reference>
        </references>
      </pivotArea>
    </chartFormat>
    <chartFormat chart="3" format="27">
      <pivotArea type="data" outline="0" fieldPosition="0">
        <references count="2">
          <reference field="4294967294" count="1" selected="0">
            <x v="0"/>
          </reference>
          <reference field="0" count="1" selected="0">
            <x v="10"/>
          </reference>
        </references>
      </pivotArea>
    </chartFormat>
    <chartFormat chart="3" format="28">
      <pivotArea type="data" outline="0" fieldPosition="0">
        <references count="2">
          <reference field="4294967294" count="1" selected="0">
            <x v="0"/>
          </reference>
          <reference field="0" count="1" selected="0">
            <x v="11"/>
          </reference>
        </references>
      </pivotArea>
    </chartFormat>
    <chartFormat chart="3" format="29">
      <pivotArea type="data" outline="0" fieldPosition="0">
        <references count="2">
          <reference field="4294967294" count="1" selected="0">
            <x v="0"/>
          </reference>
          <reference field="0" count="1" selected="0">
            <x v="12"/>
          </reference>
        </references>
      </pivotArea>
    </chartFormat>
    <chartFormat chart="3" format="30">
      <pivotArea type="data" outline="0" fieldPosition="0">
        <references count="2">
          <reference field="4294967294" count="1" selected="0">
            <x v="0"/>
          </reference>
          <reference field="0" count="1" selected="0">
            <x v="13"/>
          </reference>
        </references>
      </pivotArea>
    </chartFormat>
    <chartFormat chart="3" format="31">
      <pivotArea type="data" outline="0" fieldPosition="0">
        <references count="2">
          <reference field="4294967294" count="1" selected="0">
            <x v="0"/>
          </reference>
          <reference field="0" count="1" selected="0">
            <x v="14"/>
          </reference>
        </references>
      </pivotArea>
    </chartFormat>
    <chartFormat chart="4" format="32" series="1">
      <pivotArea type="data" outline="0" fieldPosition="0">
        <references count="1">
          <reference field="4294967294" count="1" selected="0">
            <x v="0"/>
          </reference>
        </references>
      </pivotArea>
    </chartFormat>
    <chartFormat chart="4" format="33">
      <pivotArea type="data" outline="0" fieldPosition="0">
        <references count="2">
          <reference field="4294967294" count="1" selected="0">
            <x v="0"/>
          </reference>
          <reference field="0" count="1" selected="0">
            <x v="0"/>
          </reference>
        </references>
      </pivotArea>
    </chartFormat>
    <chartFormat chart="4" format="34">
      <pivotArea type="data" outline="0" fieldPosition="0">
        <references count="2">
          <reference field="4294967294" count="1" selected="0">
            <x v="0"/>
          </reference>
          <reference field="0" count="1" selected="0">
            <x v="1"/>
          </reference>
        </references>
      </pivotArea>
    </chartFormat>
    <chartFormat chart="4" format="35">
      <pivotArea type="data" outline="0" fieldPosition="0">
        <references count="2">
          <reference field="4294967294" count="1" selected="0">
            <x v="0"/>
          </reference>
          <reference field="0" count="1" selected="0">
            <x v="2"/>
          </reference>
        </references>
      </pivotArea>
    </chartFormat>
    <chartFormat chart="4" format="36">
      <pivotArea type="data" outline="0" fieldPosition="0">
        <references count="2">
          <reference field="4294967294" count="1" selected="0">
            <x v="0"/>
          </reference>
          <reference field="0" count="1" selected="0">
            <x v="3"/>
          </reference>
        </references>
      </pivotArea>
    </chartFormat>
    <chartFormat chart="4" format="37">
      <pivotArea type="data" outline="0" fieldPosition="0">
        <references count="2">
          <reference field="4294967294" count="1" selected="0">
            <x v="0"/>
          </reference>
          <reference field="0" count="1" selected="0">
            <x v="4"/>
          </reference>
        </references>
      </pivotArea>
    </chartFormat>
    <chartFormat chart="4" format="38">
      <pivotArea type="data" outline="0" fieldPosition="0">
        <references count="2">
          <reference field="4294967294" count="1" selected="0">
            <x v="0"/>
          </reference>
          <reference field="0" count="1" selected="0">
            <x v="5"/>
          </reference>
        </references>
      </pivotArea>
    </chartFormat>
    <chartFormat chart="4" format="39">
      <pivotArea type="data" outline="0" fieldPosition="0">
        <references count="2">
          <reference field="4294967294" count="1" selected="0">
            <x v="0"/>
          </reference>
          <reference field="0" count="1" selected="0">
            <x v="6"/>
          </reference>
        </references>
      </pivotArea>
    </chartFormat>
    <chartFormat chart="4" format="40">
      <pivotArea type="data" outline="0" fieldPosition="0">
        <references count="2">
          <reference field="4294967294" count="1" selected="0">
            <x v="0"/>
          </reference>
          <reference field="0" count="1" selected="0">
            <x v="7"/>
          </reference>
        </references>
      </pivotArea>
    </chartFormat>
    <chartFormat chart="4" format="41">
      <pivotArea type="data" outline="0" fieldPosition="0">
        <references count="2">
          <reference field="4294967294" count="1" selected="0">
            <x v="0"/>
          </reference>
          <reference field="0" count="1" selected="0">
            <x v="8"/>
          </reference>
        </references>
      </pivotArea>
    </chartFormat>
    <chartFormat chart="4" format="42">
      <pivotArea type="data" outline="0" fieldPosition="0">
        <references count="2">
          <reference field="4294967294" count="1" selected="0">
            <x v="0"/>
          </reference>
          <reference field="0" count="1" selected="0">
            <x v="9"/>
          </reference>
        </references>
      </pivotArea>
    </chartFormat>
    <chartFormat chart="4" format="43">
      <pivotArea type="data" outline="0" fieldPosition="0">
        <references count="2">
          <reference field="4294967294" count="1" selected="0">
            <x v="0"/>
          </reference>
          <reference field="0" count="1" selected="0">
            <x v="10"/>
          </reference>
        </references>
      </pivotArea>
    </chartFormat>
    <chartFormat chart="4" format="44">
      <pivotArea type="data" outline="0" fieldPosition="0">
        <references count="2">
          <reference field="4294967294" count="1" selected="0">
            <x v="0"/>
          </reference>
          <reference field="0" count="1" selected="0">
            <x v="11"/>
          </reference>
        </references>
      </pivotArea>
    </chartFormat>
    <chartFormat chart="4" format="45">
      <pivotArea type="data" outline="0" fieldPosition="0">
        <references count="2">
          <reference field="4294967294" count="1" selected="0">
            <x v="0"/>
          </reference>
          <reference field="0" count="1" selected="0">
            <x v="12"/>
          </reference>
        </references>
      </pivotArea>
    </chartFormat>
    <chartFormat chart="4" format="46">
      <pivotArea type="data" outline="0" fieldPosition="0">
        <references count="2">
          <reference field="4294967294" count="1" selected="0">
            <x v="0"/>
          </reference>
          <reference field="0" count="1" selected="0">
            <x v="13"/>
          </reference>
        </references>
      </pivotArea>
    </chartFormat>
    <chartFormat chart="4" format="47">
      <pivotArea type="data" outline="0" fieldPosition="0">
        <references count="2">
          <reference field="4294967294" count="1" selected="0">
            <x v="0"/>
          </reference>
          <reference field="0"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7248B97-E628-4765-8946-FB93E89B808E}" sourceName="City">
  <pivotTables>
    <pivotTable tabId="29" name="PivotTable1"/>
    <pivotTable tabId="28" name="PivotTable2"/>
    <pivotTable tabId="30" name="PivotTable2"/>
    <pivotTable tabId="32" name="PivotTable13"/>
    <pivotTable tabId="33" name="PivotTable14"/>
    <pivotTable tabId="37" name="PivotTable17"/>
  </pivotTables>
  <data>
    <tabular pivotCacheId="1708560614">
      <items count="15">
        <i x="7" s="1"/>
        <i x="2" s="1"/>
        <i x="13" s="1"/>
        <i x="12" s="1"/>
        <i x="4" s="1"/>
        <i x="1" s="1"/>
        <i x="3" s="1"/>
        <i x="8" s="1"/>
        <i x="11" s="1"/>
        <i x="5" s="1"/>
        <i x="9" s="1"/>
        <i x="0" s="1"/>
        <i x="14" s="1"/>
        <i x="6"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QI__2024" xr10:uid="{21D3245B-87AD-4755-BDC5-7C310E2E4EEB}" sourceName="AQI (2024)">
  <pivotTables>
    <pivotTable tabId="29" name="PivotTable1"/>
    <pivotTable tabId="28" name="PivotTable2"/>
    <pivotTable tabId="30" name="PivotTable2"/>
    <pivotTable tabId="32" name="PivotTable13"/>
    <pivotTable tabId="33" name="PivotTable14"/>
    <pivotTable tabId="37" name="PivotTable17"/>
  </pivotTables>
  <data>
    <tabular pivotCacheId="1708560614">
      <items count="15">
        <i x="12" s="1"/>
        <i x="11" s="1"/>
        <i x="2" s="1"/>
        <i x="4" s="1"/>
        <i x="6" s="1"/>
        <i x="3" s="1"/>
        <i x="14" s="1"/>
        <i x="13" s="1"/>
        <i x="10" s="1"/>
        <i x="0" s="1"/>
        <i x="7" s="1"/>
        <i x="8" s="1"/>
        <i x="5" s="1"/>
        <i x="9"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QI__0_100" xr10:uid="{52DE5E09-0634-4257-BF6B-B202690A72A5}" sourceName="WQI (0-100)">
  <pivotTables>
    <pivotTable tabId="29" name="PivotTable1"/>
    <pivotTable tabId="28" name="PivotTable2"/>
    <pivotTable tabId="30" name="PivotTable2"/>
    <pivotTable tabId="32" name="PivotTable13"/>
    <pivotTable tabId="33" name="PivotTable14"/>
    <pivotTable tabId="37" name="PivotTable17"/>
  </pivotTables>
  <data>
    <tabular pivotCacheId="1708560614">
      <items count="15">
        <i x="1" s="1"/>
        <i x="9" s="1"/>
        <i x="5" s="1"/>
        <i x="8" s="1"/>
        <i x="7" s="1"/>
        <i x="4" s="1"/>
        <i x="10" s="1"/>
        <i x="0" s="1"/>
        <i x="13" s="1"/>
        <i x="3" s="1"/>
        <i x="14" s="1"/>
        <i x="6" s="1"/>
        <i x="2" s="1"/>
        <i x="11" s="1"/>
        <i x="1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all_Risk__1_10" xr10:uid="{519B1950-F49A-465D-915C-42F166A0B55A}" sourceName="Overall Risk (1-10)">
  <pivotTables>
    <pivotTable tabId="29" name="PivotTable1"/>
    <pivotTable tabId="28" name="PivotTable2"/>
    <pivotTable tabId="30" name="PivotTable2"/>
    <pivotTable tabId="32" name="PivotTable13"/>
    <pivotTable tabId="33" name="PivotTable14"/>
    <pivotTable tabId="37" name="PivotTable17"/>
  </pivotTables>
  <data>
    <tabular pivotCacheId="1708560614">
      <items count="15">
        <i x="12" s="1"/>
        <i x="14" s="1"/>
        <i x="2" s="1"/>
        <i x="13" s="1"/>
        <i x="6" s="1"/>
        <i x="3" s="1"/>
        <i x="8" s="1"/>
        <i x="9" s="1"/>
        <i x="7" s="1"/>
        <i x="10" s="1"/>
        <i x="1" s="1"/>
        <i x="5" s="1"/>
        <i x="4" s="1"/>
        <i x="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BCBE6EC-4288-4ED3-9234-278D805DF3C5}" cache="Slicer_City" caption="City" startItem="7" rowHeight="241300"/>
  <slicer name="AQI (2024)" xr10:uid="{68A2C9CE-5B22-4CB9-8CB7-E5FDF75C07C3}" cache="Slicer_AQI__2024" caption="AQI (2024)" rowHeight="241300"/>
  <slicer name="WQI (0-100)" xr10:uid="{3294EEE8-F357-4CCA-AD61-ACBF81CC7EFA}" cache="Slicer_WQI__0_100" caption="WQI (0-100)" rowHeight="241300"/>
  <slicer name="Overall Risk (1-10)" xr10:uid="{9B61585D-5604-4191-9AF8-F83909EE0070}" cache="Slicer_Overall_Risk__1_10" caption="Overall Risk (1-10)" startItem="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B691E1-C78F-4B23-B54A-17281AB3C2DE}" name="Table1" displayName="Table1" ref="N1:O16" totalsRowShown="0" headerRowDxfId="4" headerRowBorderDxfId="3" tableBorderDxfId="2" totalsRowBorderDxfId="1">
  <autoFilter ref="N1:O16" xr:uid="{90D380BC-11E3-4C4C-8C52-381A8730ADF5}"/>
  <tableColumns count="2">
    <tableColumn id="1" xr3:uid="{237E6F3C-1DB3-4454-900B-AEA3952DE2C4}" name="Overall Disaster Risk (1-10)" dataDxfId="0"/>
    <tableColumn id="2" xr3:uid="{A6DFB928-C7F0-454B-935A-DF4CEA9CBB53}" name="Risk Level"/>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7.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8.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6"/>
  <sheetViews>
    <sheetView showGridLines="0" zoomScaleNormal="100" workbookViewId="0">
      <selection activeCell="M16" sqref="M16"/>
    </sheetView>
  </sheetViews>
  <sheetFormatPr defaultColWidth="8.7109375" defaultRowHeight="15" x14ac:dyDescent="0.25"/>
  <cols>
    <col min="1" max="1" width="16" customWidth="1"/>
    <col min="2" max="2" width="10" customWidth="1"/>
    <col min="3" max="3" width="8" customWidth="1"/>
    <col min="4" max="4" width="14" customWidth="1"/>
    <col min="5" max="5" width="8" customWidth="1"/>
    <col min="6" max="6" width="14" customWidth="1"/>
    <col min="7" max="7" width="11" customWidth="1"/>
    <col min="8" max="8" width="14" customWidth="1"/>
    <col min="9" max="9" width="9" customWidth="1"/>
    <col min="10" max="10" width="13" customWidth="1"/>
    <col min="11" max="11" width="12" customWidth="1"/>
    <col min="12" max="16" width="6" customWidth="1"/>
  </cols>
  <sheetData>
    <row r="1" spans="1:16" ht="39.75" customHeight="1" x14ac:dyDescent="0.25">
      <c r="A1" s="159" t="s">
        <v>0</v>
      </c>
      <c r="B1" s="159"/>
      <c r="C1" s="159"/>
      <c r="D1" s="159"/>
      <c r="E1" s="159"/>
      <c r="F1" s="159"/>
      <c r="G1" s="159"/>
      <c r="H1" s="159"/>
      <c r="I1" s="159"/>
      <c r="J1" s="159"/>
      <c r="K1" s="159"/>
      <c r="L1" s="159"/>
      <c r="M1" s="159"/>
      <c r="N1" s="159"/>
      <c r="O1" s="159"/>
      <c r="P1" s="159"/>
    </row>
    <row r="2" spans="1:16" ht="4.5" customHeight="1" x14ac:dyDescent="0.25">
      <c r="A2" s="159"/>
      <c r="B2" s="159"/>
      <c r="C2" s="159"/>
      <c r="D2" s="159"/>
      <c r="E2" s="159"/>
      <c r="F2" s="159"/>
      <c r="G2" s="159"/>
      <c r="H2" s="159"/>
      <c r="I2" s="159"/>
      <c r="J2" s="159"/>
      <c r="K2" s="159"/>
      <c r="L2" s="159"/>
      <c r="M2" s="159"/>
      <c r="N2" s="159"/>
      <c r="O2" s="159"/>
      <c r="P2" s="159"/>
    </row>
    <row r="3" spans="1:16" ht="18" customHeight="1" x14ac:dyDescent="0.25">
      <c r="A3" s="160" t="s">
        <v>1</v>
      </c>
      <c r="B3" s="160"/>
      <c r="C3" s="160"/>
      <c r="D3" s="160"/>
      <c r="E3" s="160"/>
      <c r="F3" s="160"/>
      <c r="G3" s="160"/>
      <c r="H3" s="160"/>
      <c r="I3" s="160"/>
      <c r="J3" s="160"/>
      <c r="K3" s="160"/>
      <c r="L3" s="160"/>
      <c r="M3" s="160"/>
      <c r="N3" s="160"/>
      <c r="O3" s="160"/>
      <c r="P3" s="160"/>
    </row>
    <row r="5" spans="1:16" ht="21.75" customHeight="1" x14ac:dyDescent="0.25">
      <c r="A5" s="161" t="s">
        <v>2</v>
      </c>
      <c r="B5" s="161"/>
      <c r="C5" s="161"/>
      <c r="D5" s="162" t="s">
        <v>3</v>
      </c>
      <c r="E5" s="162"/>
      <c r="F5" s="162"/>
      <c r="G5" s="163" t="s">
        <v>4</v>
      </c>
      <c r="H5" s="163"/>
      <c r="I5" s="163"/>
      <c r="J5" s="164" t="s">
        <v>5</v>
      </c>
      <c r="K5" s="164"/>
      <c r="L5" s="164"/>
      <c r="M5" s="165" t="s">
        <v>6</v>
      </c>
      <c r="N5" s="165"/>
      <c r="O5" s="165"/>
    </row>
    <row r="6" spans="1:16" ht="21.75" customHeight="1" x14ac:dyDescent="0.25">
      <c r="A6" s="154" t="s">
        <v>7</v>
      </c>
      <c r="B6" s="154"/>
      <c r="C6" s="154"/>
      <c r="D6" s="155" t="s">
        <v>8</v>
      </c>
      <c r="E6" s="155"/>
      <c r="F6" s="155"/>
      <c r="G6" s="156" t="s">
        <v>8</v>
      </c>
      <c r="H6" s="156"/>
      <c r="I6" s="156"/>
      <c r="J6" s="157" t="s">
        <v>8</v>
      </c>
      <c r="K6" s="157"/>
      <c r="L6" s="157"/>
      <c r="M6" s="158" t="s">
        <v>8</v>
      </c>
      <c r="N6" s="158"/>
      <c r="O6" s="158"/>
    </row>
    <row r="7" spans="1:16" ht="21.75" customHeight="1" x14ac:dyDescent="0.25">
      <c r="A7" s="149" t="s">
        <v>9</v>
      </c>
      <c r="B7" s="149"/>
      <c r="C7" s="149"/>
      <c r="D7" s="150" t="s">
        <v>10</v>
      </c>
      <c r="E7" s="150"/>
      <c r="F7" s="150"/>
      <c r="G7" s="151" t="s">
        <v>11</v>
      </c>
      <c r="H7" s="151"/>
      <c r="I7" s="151"/>
      <c r="J7" s="152" t="s">
        <v>12</v>
      </c>
      <c r="K7" s="152"/>
      <c r="L7" s="152"/>
      <c r="M7" s="153" t="s">
        <v>13</v>
      </c>
      <c r="N7" s="153"/>
      <c r="O7" s="153"/>
    </row>
    <row r="8" spans="1:16" ht="21.75" customHeight="1" x14ac:dyDescent="0.25">
      <c r="A8" s="144"/>
      <c r="B8" s="144"/>
      <c r="C8" s="144"/>
      <c r="D8" s="145"/>
      <c r="E8" s="145"/>
      <c r="F8" s="145"/>
      <c r="G8" s="146"/>
      <c r="H8" s="146"/>
      <c r="I8" s="146"/>
      <c r="J8" s="147"/>
      <c r="K8" s="147"/>
      <c r="L8" s="147"/>
      <c r="M8" s="148"/>
      <c r="N8" s="148"/>
      <c r="O8" s="148"/>
    </row>
    <row r="10" spans="1:16" ht="19.5" customHeight="1" x14ac:dyDescent="0.25">
      <c r="A10" s="143" t="s">
        <v>14</v>
      </c>
      <c r="B10" s="143"/>
      <c r="C10" s="143"/>
      <c r="D10" s="143"/>
      <c r="E10" s="143"/>
      <c r="F10" s="143"/>
      <c r="G10" s="143"/>
      <c r="H10" s="143"/>
      <c r="I10" s="143"/>
      <c r="J10" s="143"/>
      <c r="K10" s="143"/>
      <c r="L10" s="143"/>
      <c r="M10" s="143"/>
      <c r="N10" s="143"/>
      <c r="O10" s="143"/>
      <c r="P10" s="143"/>
    </row>
    <row r="11" spans="1:16" ht="24" customHeight="1" x14ac:dyDescent="0.25">
      <c r="A11" s="1" t="s">
        <v>15</v>
      </c>
      <c r="B11" s="1" t="s">
        <v>16</v>
      </c>
      <c r="C11" s="1" t="s">
        <v>17</v>
      </c>
      <c r="D11" s="1" t="s">
        <v>18</v>
      </c>
      <c r="E11" s="1" t="s">
        <v>19</v>
      </c>
      <c r="F11" s="1" t="s">
        <v>20</v>
      </c>
      <c r="G11" s="1" t="s">
        <v>21</v>
      </c>
      <c r="H11" s="1" t="s">
        <v>22</v>
      </c>
      <c r="I11" s="1" t="s">
        <v>23</v>
      </c>
      <c r="J11" s="1" t="s">
        <v>24</v>
      </c>
      <c r="K11" s="1" t="s">
        <v>25</v>
      </c>
    </row>
    <row r="12" spans="1:16" ht="15.75" customHeight="1" x14ac:dyDescent="0.25">
      <c r="A12" s="2" t="s">
        <v>26</v>
      </c>
      <c r="B12" s="3" t="s">
        <v>27</v>
      </c>
      <c r="C12" s="4">
        <v>148</v>
      </c>
      <c r="D12" s="5" t="s">
        <v>28</v>
      </c>
      <c r="E12" s="4">
        <v>62</v>
      </c>
      <c r="F12" s="6" t="s">
        <v>29</v>
      </c>
      <c r="G12" s="4">
        <v>72</v>
      </c>
      <c r="H12" s="5" t="s">
        <v>30</v>
      </c>
      <c r="I12" s="7">
        <v>0.68</v>
      </c>
      <c r="J12" s="8">
        <v>7.2</v>
      </c>
      <c r="K12" s="9" t="s">
        <v>31</v>
      </c>
    </row>
    <row r="13" spans="1:16" ht="15.75" customHeight="1" x14ac:dyDescent="0.25">
      <c r="A13" s="10" t="s">
        <v>7</v>
      </c>
      <c r="B13" s="11" t="s">
        <v>32</v>
      </c>
      <c r="C13" s="12">
        <v>312</v>
      </c>
      <c r="D13" s="13" t="s">
        <v>33</v>
      </c>
      <c r="E13" s="12">
        <v>38</v>
      </c>
      <c r="F13" s="14" t="s">
        <v>34</v>
      </c>
      <c r="G13" s="12">
        <v>85</v>
      </c>
      <c r="H13" s="14" t="s">
        <v>35</v>
      </c>
      <c r="I13" s="15">
        <v>0.42</v>
      </c>
      <c r="J13" s="16">
        <v>5.8</v>
      </c>
      <c r="K13" s="9" t="s">
        <v>36</v>
      </c>
    </row>
    <row r="14" spans="1:16" ht="15.75" customHeight="1" x14ac:dyDescent="0.25">
      <c r="A14" s="2" t="s">
        <v>37</v>
      </c>
      <c r="B14" s="3" t="s">
        <v>38</v>
      </c>
      <c r="C14" s="4">
        <v>89</v>
      </c>
      <c r="D14" s="6" t="s">
        <v>39</v>
      </c>
      <c r="E14" s="4">
        <v>71</v>
      </c>
      <c r="F14" s="6" t="s">
        <v>29</v>
      </c>
      <c r="G14" s="4">
        <v>65</v>
      </c>
      <c r="H14" s="6" t="s">
        <v>40</v>
      </c>
      <c r="I14" s="7">
        <v>0.74</v>
      </c>
      <c r="J14" s="8">
        <v>3.4</v>
      </c>
      <c r="K14" s="17" t="s">
        <v>41</v>
      </c>
    </row>
    <row r="15" spans="1:16" ht="15.75" customHeight="1" x14ac:dyDescent="0.25">
      <c r="A15" s="10" t="s">
        <v>42</v>
      </c>
      <c r="B15" s="11" t="s">
        <v>38</v>
      </c>
      <c r="C15" s="12">
        <v>112</v>
      </c>
      <c r="D15" s="5" t="s">
        <v>28</v>
      </c>
      <c r="E15" s="12">
        <v>66</v>
      </c>
      <c r="F15" s="6" t="s">
        <v>29</v>
      </c>
      <c r="G15" s="12">
        <v>68</v>
      </c>
      <c r="H15" s="5" t="s">
        <v>30</v>
      </c>
      <c r="I15" s="15">
        <v>0.71</v>
      </c>
      <c r="J15" s="16">
        <v>4.0999999999999996</v>
      </c>
      <c r="K15" s="18" t="s">
        <v>43</v>
      </c>
    </row>
    <row r="16" spans="1:16" ht="15.75" customHeight="1" x14ac:dyDescent="0.25">
      <c r="A16" s="2" t="s">
        <v>44</v>
      </c>
      <c r="B16" s="3" t="s">
        <v>38</v>
      </c>
      <c r="C16" s="4">
        <v>98</v>
      </c>
      <c r="D16" s="6" t="s">
        <v>39</v>
      </c>
      <c r="E16" s="4">
        <v>58</v>
      </c>
      <c r="F16" s="5" t="s">
        <v>45</v>
      </c>
      <c r="G16" s="4">
        <v>70</v>
      </c>
      <c r="H16" s="5" t="s">
        <v>30</v>
      </c>
      <c r="I16" s="7">
        <v>0.69</v>
      </c>
      <c r="J16" s="8">
        <v>6.8</v>
      </c>
      <c r="K16" s="9" t="s">
        <v>46</v>
      </c>
    </row>
    <row r="17" spans="1:11" ht="15.75" customHeight="1" x14ac:dyDescent="0.25">
      <c r="A17" s="10" t="s">
        <v>47</v>
      </c>
      <c r="B17" s="11" t="s">
        <v>48</v>
      </c>
      <c r="C17" s="12">
        <v>201</v>
      </c>
      <c r="D17" s="14" t="s">
        <v>34</v>
      </c>
      <c r="E17" s="12">
        <v>44</v>
      </c>
      <c r="F17" s="5" t="s">
        <v>45</v>
      </c>
      <c r="G17" s="12">
        <v>78</v>
      </c>
      <c r="H17" s="14" t="s">
        <v>35</v>
      </c>
      <c r="I17" s="15">
        <v>0.51</v>
      </c>
      <c r="J17" s="16">
        <v>6.5</v>
      </c>
      <c r="K17" s="9" t="s">
        <v>49</v>
      </c>
    </row>
    <row r="18" spans="1:11" ht="15.75" customHeight="1" x14ac:dyDescent="0.25">
      <c r="A18" s="2" t="s">
        <v>50</v>
      </c>
      <c r="B18" s="3" t="s">
        <v>27</v>
      </c>
      <c r="C18" s="4">
        <v>102</v>
      </c>
      <c r="D18" s="5" t="s">
        <v>28</v>
      </c>
      <c r="E18" s="4">
        <v>69</v>
      </c>
      <c r="F18" s="6" t="s">
        <v>29</v>
      </c>
      <c r="G18" s="4">
        <v>67</v>
      </c>
      <c r="H18" s="5" t="s">
        <v>30</v>
      </c>
      <c r="I18" s="7">
        <v>0.73</v>
      </c>
      <c r="J18" s="8">
        <v>3.8</v>
      </c>
      <c r="K18" s="18" t="s">
        <v>51</v>
      </c>
    </row>
    <row r="19" spans="1:11" ht="15.75" customHeight="1" x14ac:dyDescent="0.25">
      <c r="A19" s="10" t="s">
        <v>52</v>
      </c>
      <c r="B19" s="11" t="s">
        <v>27</v>
      </c>
      <c r="C19" s="12">
        <v>178</v>
      </c>
      <c r="D19" s="5" t="s">
        <v>28</v>
      </c>
      <c r="E19" s="12">
        <v>52</v>
      </c>
      <c r="F19" s="5" t="s">
        <v>45</v>
      </c>
      <c r="G19" s="12">
        <v>74</v>
      </c>
      <c r="H19" s="5" t="s">
        <v>30</v>
      </c>
      <c r="I19" s="15">
        <v>0.62</v>
      </c>
      <c r="J19" s="16">
        <v>4.9000000000000004</v>
      </c>
      <c r="K19" s="9" t="s">
        <v>53</v>
      </c>
    </row>
    <row r="20" spans="1:11" ht="15.75" customHeight="1" x14ac:dyDescent="0.25">
      <c r="A20" s="2" t="s">
        <v>54</v>
      </c>
      <c r="B20" s="3" t="s">
        <v>32</v>
      </c>
      <c r="C20" s="4">
        <v>195</v>
      </c>
      <c r="D20" s="5" t="s">
        <v>28</v>
      </c>
      <c r="E20" s="4">
        <v>48</v>
      </c>
      <c r="F20" s="5" t="s">
        <v>45</v>
      </c>
      <c r="G20" s="4">
        <v>76</v>
      </c>
      <c r="H20" s="14" t="s">
        <v>35</v>
      </c>
      <c r="I20" s="7">
        <v>0.55000000000000004</v>
      </c>
      <c r="J20" s="8">
        <v>4.2</v>
      </c>
      <c r="K20" s="9" t="s">
        <v>55</v>
      </c>
    </row>
    <row r="21" spans="1:11" ht="15.75" customHeight="1" x14ac:dyDescent="0.25">
      <c r="A21" s="10" t="s">
        <v>56</v>
      </c>
      <c r="B21" s="11" t="s">
        <v>32</v>
      </c>
      <c r="C21" s="12">
        <v>248</v>
      </c>
      <c r="D21" s="14" t="s">
        <v>34</v>
      </c>
      <c r="E21" s="12">
        <v>41</v>
      </c>
      <c r="F21" s="5" t="s">
        <v>45</v>
      </c>
      <c r="G21" s="12">
        <v>80</v>
      </c>
      <c r="H21" s="14" t="s">
        <v>35</v>
      </c>
      <c r="I21" s="15">
        <v>0.47</v>
      </c>
      <c r="J21" s="16">
        <v>4.4000000000000004</v>
      </c>
      <c r="K21" s="9" t="s">
        <v>57</v>
      </c>
    </row>
    <row r="22" spans="1:11" ht="15.75" customHeight="1" x14ac:dyDescent="0.25">
      <c r="A22" s="2" t="s">
        <v>58</v>
      </c>
      <c r="B22" s="3" t="s">
        <v>27</v>
      </c>
      <c r="C22" s="4">
        <v>134</v>
      </c>
      <c r="D22" s="5" t="s">
        <v>28</v>
      </c>
      <c r="E22" s="4">
        <v>61</v>
      </c>
      <c r="F22" s="6" t="s">
        <v>29</v>
      </c>
      <c r="G22" s="4">
        <v>69</v>
      </c>
      <c r="H22" s="5" t="s">
        <v>30</v>
      </c>
      <c r="I22" s="7">
        <v>0.76</v>
      </c>
      <c r="J22" s="8">
        <v>5.0999999999999996</v>
      </c>
      <c r="K22" s="18" t="s">
        <v>59</v>
      </c>
    </row>
    <row r="23" spans="1:11" ht="15.75" customHeight="1" x14ac:dyDescent="0.25">
      <c r="A23" s="10" t="s">
        <v>60</v>
      </c>
      <c r="B23" s="11" t="s">
        <v>38</v>
      </c>
      <c r="C23" s="12">
        <v>75</v>
      </c>
      <c r="D23" s="6" t="s">
        <v>39</v>
      </c>
      <c r="E23" s="12">
        <v>78</v>
      </c>
      <c r="F23" s="6" t="s">
        <v>29</v>
      </c>
      <c r="G23" s="12">
        <v>61</v>
      </c>
      <c r="H23" s="6" t="s">
        <v>40</v>
      </c>
      <c r="I23" s="15">
        <v>0.79</v>
      </c>
      <c r="J23" s="16">
        <v>7.8</v>
      </c>
      <c r="K23" s="18" t="s">
        <v>61</v>
      </c>
    </row>
    <row r="24" spans="1:11" ht="15.75" customHeight="1" x14ac:dyDescent="0.25">
      <c r="A24" s="2" t="s">
        <v>8</v>
      </c>
      <c r="B24" s="3" t="s">
        <v>32</v>
      </c>
      <c r="C24" s="4">
        <v>68</v>
      </c>
      <c r="D24" s="6" t="s">
        <v>39</v>
      </c>
      <c r="E24" s="4">
        <v>82</v>
      </c>
      <c r="F24" s="19" t="s">
        <v>62</v>
      </c>
      <c r="G24" s="4">
        <v>58</v>
      </c>
      <c r="H24" s="6" t="s">
        <v>40</v>
      </c>
      <c r="I24" s="7">
        <v>0.84</v>
      </c>
      <c r="J24" s="8">
        <v>2.9</v>
      </c>
      <c r="K24" s="17" t="s">
        <v>63</v>
      </c>
    </row>
    <row r="25" spans="1:11" ht="15.75" customHeight="1" x14ac:dyDescent="0.25">
      <c r="A25" s="10" t="s">
        <v>64</v>
      </c>
      <c r="B25" s="11" t="s">
        <v>65</v>
      </c>
      <c r="C25" s="12">
        <v>121</v>
      </c>
      <c r="D25" s="5" t="s">
        <v>28</v>
      </c>
      <c r="E25" s="12">
        <v>65</v>
      </c>
      <c r="F25" s="6" t="s">
        <v>29</v>
      </c>
      <c r="G25" s="12">
        <v>66</v>
      </c>
      <c r="H25" s="5" t="s">
        <v>30</v>
      </c>
      <c r="I25" s="15">
        <v>0.67</v>
      </c>
      <c r="J25" s="16">
        <v>3.6</v>
      </c>
      <c r="K25" s="18" t="s">
        <v>66</v>
      </c>
    </row>
    <row r="26" spans="1:11" ht="15.75" customHeight="1" x14ac:dyDescent="0.25">
      <c r="A26" s="2" t="s">
        <v>67</v>
      </c>
      <c r="B26" s="3" t="s">
        <v>65</v>
      </c>
      <c r="C26" s="4">
        <v>115</v>
      </c>
      <c r="D26" s="5" t="s">
        <v>28</v>
      </c>
      <c r="E26" s="4">
        <v>67</v>
      </c>
      <c r="F26" s="6" t="s">
        <v>29</v>
      </c>
      <c r="G26" s="4">
        <v>64</v>
      </c>
      <c r="H26" s="6" t="s">
        <v>40</v>
      </c>
      <c r="I26" s="7">
        <v>0.7</v>
      </c>
      <c r="J26" s="8">
        <v>3.3</v>
      </c>
      <c r="K26" s="17" t="s">
        <v>68</v>
      </c>
    </row>
  </sheetData>
  <mergeCells count="23">
    <mergeCell ref="A1:P2"/>
    <mergeCell ref="A3:P3"/>
    <mergeCell ref="A5:C5"/>
    <mergeCell ref="D5:F5"/>
    <mergeCell ref="G5:I5"/>
    <mergeCell ref="J5:L5"/>
    <mergeCell ref="M5:O5"/>
    <mergeCell ref="A6:C6"/>
    <mergeCell ref="D6:F6"/>
    <mergeCell ref="G6:I6"/>
    <mergeCell ref="J6:L6"/>
    <mergeCell ref="M6:O6"/>
    <mergeCell ref="A7:C7"/>
    <mergeCell ref="D7:F7"/>
    <mergeCell ref="G7:I7"/>
    <mergeCell ref="J7:L7"/>
    <mergeCell ref="M7:O7"/>
    <mergeCell ref="A10:P10"/>
    <mergeCell ref="A8:C8"/>
    <mergeCell ref="D8:F8"/>
    <mergeCell ref="G8:I8"/>
    <mergeCell ref="J8:L8"/>
    <mergeCell ref="M8:O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9"/>
  <sheetViews>
    <sheetView showGridLines="0" zoomScaleNormal="100" workbookViewId="0">
      <selection activeCell="N12" sqref="N12"/>
    </sheetView>
  </sheetViews>
  <sheetFormatPr defaultColWidth="8.7109375" defaultRowHeight="15" x14ac:dyDescent="0.25"/>
  <cols>
    <col min="1" max="1" width="16" customWidth="1"/>
    <col min="2" max="3" width="10" customWidth="1"/>
    <col min="4" max="4" width="14" customWidth="1"/>
    <col min="5" max="6" width="12" customWidth="1"/>
    <col min="7" max="9" width="10" customWidth="1"/>
    <col min="10" max="11" width="12" customWidth="1"/>
    <col min="12" max="12" width="26" bestFit="1" customWidth="1"/>
  </cols>
  <sheetData>
    <row r="1" spans="1:12" ht="27.75" customHeight="1" x14ac:dyDescent="0.25">
      <c r="A1" s="166" t="s">
        <v>69</v>
      </c>
      <c r="B1" s="166"/>
      <c r="C1" s="166"/>
      <c r="D1" s="166"/>
      <c r="E1" s="166"/>
      <c r="F1" s="166"/>
      <c r="G1" s="166"/>
      <c r="H1" s="166"/>
      <c r="I1" s="166"/>
      <c r="J1" s="166"/>
      <c r="K1" s="166"/>
      <c r="L1" s="166"/>
    </row>
    <row r="2" spans="1:12" ht="13.5" customHeight="1" x14ac:dyDescent="0.25">
      <c r="A2" s="167" t="s">
        <v>70</v>
      </c>
      <c r="B2" s="167"/>
      <c r="C2" s="167"/>
      <c r="D2" s="167"/>
      <c r="E2" s="167"/>
      <c r="F2" s="167"/>
      <c r="G2" s="167"/>
      <c r="H2" s="167"/>
      <c r="I2" s="167"/>
      <c r="J2" s="167"/>
      <c r="K2" s="167"/>
      <c r="L2" s="167"/>
    </row>
    <row r="3" spans="1:12" ht="27.75" customHeight="1" x14ac:dyDescent="0.25">
      <c r="A3" s="20" t="s">
        <v>15</v>
      </c>
      <c r="B3" s="20" t="s">
        <v>16</v>
      </c>
      <c r="C3" s="20" t="s">
        <v>71</v>
      </c>
      <c r="D3" s="20" t="s">
        <v>72</v>
      </c>
      <c r="E3" s="20" t="s">
        <v>73</v>
      </c>
      <c r="F3" s="20" t="s">
        <v>74</v>
      </c>
      <c r="G3" s="20" t="s">
        <v>75</v>
      </c>
      <c r="H3" s="20" t="s">
        <v>76</v>
      </c>
      <c r="I3" s="20" t="s">
        <v>77</v>
      </c>
      <c r="J3" s="20" t="s">
        <v>78</v>
      </c>
      <c r="K3" s="20" t="s">
        <v>79</v>
      </c>
      <c r="L3" s="20" t="s">
        <v>80</v>
      </c>
    </row>
    <row r="4" spans="1:12" ht="15.75" customHeight="1" x14ac:dyDescent="0.25">
      <c r="A4" s="2" t="s">
        <v>26</v>
      </c>
      <c r="B4" s="3" t="s">
        <v>27</v>
      </c>
      <c r="C4" s="21">
        <v>148</v>
      </c>
      <c r="D4" s="5" t="s">
        <v>28</v>
      </c>
      <c r="E4" s="8">
        <v>58.2</v>
      </c>
      <c r="F4" s="8">
        <v>98.4</v>
      </c>
      <c r="G4" s="8">
        <v>42.1</v>
      </c>
      <c r="H4" s="8">
        <v>14.2</v>
      </c>
      <c r="I4" s="8">
        <v>1.8</v>
      </c>
      <c r="J4" s="22">
        <v>7</v>
      </c>
      <c r="K4" s="23">
        <v>-3.2</v>
      </c>
      <c r="L4" s="3" t="s">
        <v>81</v>
      </c>
    </row>
    <row r="5" spans="1:12" ht="15.75" customHeight="1" x14ac:dyDescent="0.25">
      <c r="A5" s="10" t="s">
        <v>7</v>
      </c>
      <c r="B5" s="11" t="s">
        <v>32</v>
      </c>
      <c r="C5" s="24">
        <v>312</v>
      </c>
      <c r="D5" s="13" t="s">
        <v>33</v>
      </c>
      <c r="E5" s="16">
        <v>142.30000000000001</v>
      </c>
      <c r="F5" s="16">
        <v>218.6</v>
      </c>
      <c r="G5" s="16">
        <v>88.4</v>
      </c>
      <c r="H5" s="16">
        <v>28.6</v>
      </c>
      <c r="I5" s="16">
        <v>3.2</v>
      </c>
      <c r="J5" s="25">
        <v>3.8</v>
      </c>
      <c r="K5" s="26">
        <v>2.1</v>
      </c>
      <c r="L5" s="11" t="s">
        <v>82</v>
      </c>
    </row>
    <row r="6" spans="1:12" ht="15.75" customHeight="1" x14ac:dyDescent="0.25">
      <c r="A6" s="2" t="s">
        <v>37</v>
      </c>
      <c r="B6" s="3" t="s">
        <v>38</v>
      </c>
      <c r="C6" s="21">
        <v>89</v>
      </c>
      <c r="D6" s="6" t="s">
        <v>39</v>
      </c>
      <c r="E6" s="8">
        <v>32.1</v>
      </c>
      <c r="F6" s="8">
        <v>54.8</v>
      </c>
      <c r="G6" s="8">
        <v>28.6</v>
      </c>
      <c r="H6" s="8">
        <v>8.4</v>
      </c>
      <c r="I6" s="8">
        <v>0.9</v>
      </c>
      <c r="J6" s="22">
        <v>8.1999999999999993</v>
      </c>
      <c r="K6" s="23">
        <v>-5.0999999999999996</v>
      </c>
      <c r="L6" s="3" t="s">
        <v>83</v>
      </c>
    </row>
    <row r="7" spans="1:12" ht="15.75" customHeight="1" x14ac:dyDescent="0.25">
      <c r="A7" s="10" t="s">
        <v>42</v>
      </c>
      <c r="B7" s="11" t="s">
        <v>38</v>
      </c>
      <c r="C7" s="24">
        <v>112</v>
      </c>
      <c r="D7" s="5" t="s">
        <v>28</v>
      </c>
      <c r="E7" s="16">
        <v>44.8</v>
      </c>
      <c r="F7" s="16">
        <v>78.2</v>
      </c>
      <c r="G7" s="16">
        <v>34.200000000000003</v>
      </c>
      <c r="H7" s="16">
        <v>12.1</v>
      </c>
      <c r="I7" s="16">
        <v>1.2</v>
      </c>
      <c r="J7" s="25">
        <v>7.8</v>
      </c>
      <c r="K7" s="27">
        <v>-2.8</v>
      </c>
      <c r="L7" s="11" t="s">
        <v>81</v>
      </c>
    </row>
    <row r="8" spans="1:12" ht="15.75" customHeight="1" x14ac:dyDescent="0.25">
      <c r="A8" s="2" t="s">
        <v>44</v>
      </c>
      <c r="B8" s="3" t="s">
        <v>38</v>
      </c>
      <c r="C8" s="21">
        <v>98</v>
      </c>
      <c r="D8" s="6" t="s">
        <v>39</v>
      </c>
      <c r="E8" s="8">
        <v>38.4</v>
      </c>
      <c r="F8" s="8">
        <v>64.599999999999994</v>
      </c>
      <c r="G8" s="8">
        <v>31.8</v>
      </c>
      <c r="H8" s="8">
        <v>10.8</v>
      </c>
      <c r="I8" s="8">
        <v>1.1000000000000001</v>
      </c>
      <c r="J8" s="22">
        <v>8</v>
      </c>
      <c r="K8" s="23">
        <v>-4.2</v>
      </c>
      <c r="L8" s="3" t="s">
        <v>84</v>
      </c>
    </row>
    <row r="9" spans="1:12" ht="15.75" customHeight="1" x14ac:dyDescent="0.25">
      <c r="A9" s="10" t="s">
        <v>47</v>
      </c>
      <c r="B9" s="11" t="s">
        <v>48</v>
      </c>
      <c r="C9" s="24">
        <v>201</v>
      </c>
      <c r="D9" s="14" t="s">
        <v>34</v>
      </c>
      <c r="E9" s="16">
        <v>82.6</v>
      </c>
      <c r="F9" s="16">
        <v>138.4</v>
      </c>
      <c r="G9" s="16">
        <v>56.2</v>
      </c>
      <c r="H9" s="16">
        <v>19.399999999999999</v>
      </c>
      <c r="I9" s="16">
        <v>2.1</v>
      </c>
      <c r="J9" s="25">
        <v>6</v>
      </c>
      <c r="K9" s="26">
        <v>1.4</v>
      </c>
      <c r="L9" s="11" t="s">
        <v>85</v>
      </c>
    </row>
    <row r="10" spans="1:12" ht="15.75" customHeight="1" x14ac:dyDescent="0.25">
      <c r="A10" s="2" t="s">
        <v>50</v>
      </c>
      <c r="B10" s="3" t="s">
        <v>27</v>
      </c>
      <c r="C10" s="21">
        <v>102</v>
      </c>
      <c r="D10" s="5" t="s">
        <v>28</v>
      </c>
      <c r="E10" s="8">
        <v>40.200000000000003</v>
      </c>
      <c r="F10" s="8">
        <v>68.599999999999994</v>
      </c>
      <c r="G10" s="8">
        <v>29.4</v>
      </c>
      <c r="H10" s="8">
        <v>9.1999999999999993</v>
      </c>
      <c r="I10" s="8">
        <v>1</v>
      </c>
      <c r="J10" s="22">
        <v>8</v>
      </c>
      <c r="K10" s="23">
        <v>-3.8</v>
      </c>
      <c r="L10" s="3" t="s">
        <v>83</v>
      </c>
    </row>
    <row r="11" spans="1:12" ht="15.75" customHeight="1" x14ac:dyDescent="0.25">
      <c r="A11" s="10" t="s">
        <v>52</v>
      </c>
      <c r="B11" s="11" t="s">
        <v>27</v>
      </c>
      <c r="C11" s="24">
        <v>178</v>
      </c>
      <c r="D11" s="5" t="s">
        <v>28</v>
      </c>
      <c r="E11" s="16">
        <v>68.400000000000006</v>
      </c>
      <c r="F11" s="16">
        <v>114.2</v>
      </c>
      <c r="G11" s="16">
        <v>48.6</v>
      </c>
      <c r="H11" s="16">
        <v>16.8</v>
      </c>
      <c r="I11" s="16">
        <v>1.6</v>
      </c>
      <c r="J11" s="25">
        <v>6.4</v>
      </c>
      <c r="K11" s="27">
        <v>-1.9</v>
      </c>
      <c r="L11" s="11" t="s">
        <v>86</v>
      </c>
    </row>
    <row r="12" spans="1:12" ht="15.75" customHeight="1" x14ac:dyDescent="0.25">
      <c r="A12" s="2" t="s">
        <v>54</v>
      </c>
      <c r="B12" s="3" t="s">
        <v>32</v>
      </c>
      <c r="C12" s="21">
        <v>195</v>
      </c>
      <c r="D12" s="5" t="s">
        <v>28</v>
      </c>
      <c r="E12" s="8">
        <v>76.2</v>
      </c>
      <c r="F12" s="8">
        <v>128.4</v>
      </c>
      <c r="G12" s="8">
        <v>54.2</v>
      </c>
      <c r="H12" s="8">
        <v>18.600000000000001</v>
      </c>
      <c r="I12" s="8">
        <v>1.8</v>
      </c>
      <c r="J12" s="22">
        <v>6.1</v>
      </c>
      <c r="K12" s="28">
        <v>0.8</v>
      </c>
      <c r="L12" s="3" t="s">
        <v>87</v>
      </c>
    </row>
    <row r="13" spans="1:12" ht="15.75" customHeight="1" x14ac:dyDescent="0.25">
      <c r="A13" s="10" t="s">
        <v>56</v>
      </c>
      <c r="B13" s="11" t="s">
        <v>32</v>
      </c>
      <c r="C13" s="24">
        <v>248</v>
      </c>
      <c r="D13" s="14" t="s">
        <v>34</v>
      </c>
      <c r="E13" s="16">
        <v>98.4</v>
      </c>
      <c r="F13" s="16">
        <v>164.8</v>
      </c>
      <c r="G13" s="16">
        <v>68.400000000000006</v>
      </c>
      <c r="H13" s="16">
        <v>23.6</v>
      </c>
      <c r="I13" s="16">
        <v>2.4</v>
      </c>
      <c r="J13" s="25">
        <v>5</v>
      </c>
      <c r="K13" s="26">
        <v>3.2</v>
      </c>
      <c r="L13" s="11" t="s">
        <v>88</v>
      </c>
    </row>
    <row r="14" spans="1:12" ht="15.75" customHeight="1" x14ac:dyDescent="0.25">
      <c r="A14" s="2" t="s">
        <v>58</v>
      </c>
      <c r="B14" s="3" t="s">
        <v>27</v>
      </c>
      <c r="C14" s="21">
        <v>134</v>
      </c>
      <c r="D14" s="5" t="s">
        <v>28</v>
      </c>
      <c r="E14" s="8">
        <v>54.2</v>
      </c>
      <c r="F14" s="8">
        <v>90.6</v>
      </c>
      <c r="G14" s="8">
        <v>40.799999999999997</v>
      </c>
      <c r="H14" s="8">
        <v>14.6</v>
      </c>
      <c r="I14" s="8">
        <v>1.5</v>
      </c>
      <c r="J14" s="22">
        <v>7.3</v>
      </c>
      <c r="K14" s="23">
        <v>-2.4</v>
      </c>
      <c r="L14" s="3" t="s">
        <v>89</v>
      </c>
    </row>
    <row r="15" spans="1:12" ht="15.75" customHeight="1" x14ac:dyDescent="0.25">
      <c r="A15" s="10" t="s">
        <v>60</v>
      </c>
      <c r="B15" s="11" t="s">
        <v>38</v>
      </c>
      <c r="C15" s="24">
        <v>75</v>
      </c>
      <c r="D15" s="6" t="s">
        <v>39</v>
      </c>
      <c r="E15" s="16">
        <v>28.6</v>
      </c>
      <c r="F15" s="16">
        <v>48.2</v>
      </c>
      <c r="G15" s="16">
        <v>22.4</v>
      </c>
      <c r="H15" s="16">
        <v>6.8</v>
      </c>
      <c r="I15" s="16">
        <v>0.7</v>
      </c>
      <c r="J15" s="25">
        <v>8.5</v>
      </c>
      <c r="K15" s="27">
        <v>-6.2</v>
      </c>
      <c r="L15" s="11" t="s">
        <v>90</v>
      </c>
    </row>
    <row r="16" spans="1:12" ht="15.75" customHeight="1" x14ac:dyDescent="0.25">
      <c r="A16" s="2" t="s">
        <v>8</v>
      </c>
      <c r="B16" s="3" t="s">
        <v>32</v>
      </c>
      <c r="C16" s="21">
        <v>68</v>
      </c>
      <c r="D16" s="6" t="s">
        <v>39</v>
      </c>
      <c r="E16" s="8">
        <v>24.8</v>
      </c>
      <c r="F16" s="8">
        <v>42.4</v>
      </c>
      <c r="G16" s="8">
        <v>19.8</v>
      </c>
      <c r="H16" s="8">
        <v>5.8</v>
      </c>
      <c r="I16" s="8">
        <v>0.6</v>
      </c>
      <c r="J16" s="22">
        <v>8.6</v>
      </c>
      <c r="K16" s="23">
        <v>-7.1</v>
      </c>
      <c r="L16" s="3" t="s">
        <v>91</v>
      </c>
    </row>
    <row r="17" spans="1:12" ht="15.75" customHeight="1" x14ac:dyDescent="0.25">
      <c r="A17" s="10" t="s">
        <v>64</v>
      </c>
      <c r="B17" s="11" t="s">
        <v>65</v>
      </c>
      <c r="C17" s="24">
        <v>121</v>
      </c>
      <c r="D17" s="5" t="s">
        <v>28</v>
      </c>
      <c r="E17" s="16">
        <v>46.8</v>
      </c>
      <c r="F17" s="16">
        <v>79.400000000000006</v>
      </c>
      <c r="G17" s="16">
        <v>36.200000000000003</v>
      </c>
      <c r="H17" s="16">
        <v>12.4</v>
      </c>
      <c r="I17" s="16">
        <v>1.2</v>
      </c>
      <c r="J17" s="25">
        <v>7.6</v>
      </c>
      <c r="K17" s="27">
        <v>-2.6</v>
      </c>
      <c r="L17" s="11" t="s">
        <v>92</v>
      </c>
    </row>
    <row r="18" spans="1:12" ht="15.75" customHeight="1" x14ac:dyDescent="0.25">
      <c r="A18" s="2" t="s">
        <v>67</v>
      </c>
      <c r="B18" s="3" t="s">
        <v>65</v>
      </c>
      <c r="C18" s="21">
        <v>115</v>
      </c>
      <c r="D18" s="5" t="s">
        <v>28</v>
      </c>
      <c r="E18" s="8">
        <v>44.2</v>
      </c>
      <c r="F18" s="8">
        <v>74.8</v>
      </c>
      <c r="G18" s="8">
        <v>34.799999999999997</v>
      </c>
      <c r="H18" s="8">
        <v>11.8</v>
      </c>
      <c r="I18" s="8">
        <v>1.1000000000000001</v>
      </c>
      <c r="J18" s="22">
        <v>7.7</v>
      </c>
      <c r="K18" s="23">
        <v>-3.4</v>
      </c>
      <c r="L18" s="3" t="s">
        <v>93</v>
      </c>
    </row>
    <row r="19" spans="1:12" ht="18" customHeight="1" x14ac:dyDescent="0.25">
      <c r="A19" s="29" t="s">
        <v>94</v>
      </c>
      <c r="B19" s="29"/>
      <c r="C19" s="30">
        <f>AVERAGE(C4:C18)</f>
        <v>146.4</v>
      </c>
      <c r="D19" s="29"/>
      <c r="E19" s="31">
        <f t="shared" ref="E19:J19" si="0">AVERAGE(E4:E18)</f>
        <v>58.68</v>
      </c>
      <c r="F19" s="31">
        <f t="shared" si="0"/>
        <v>97.626666666666679</v>
      </c>
      <c r="G19" s="31">
        <f t="shared" si="0"/>
        <v>42.393333333333324</v>
      </c>
      <c r="H19" s="31">
        <f t="shared" si="0"/>
        <v>14.206666666666669</v>
      </c>
      <c r="I19" s="31">
        <f t="shared" si="0"/>
        <v>1.4800000000000002</v>
      </c>
      <c r="J19" s="31">
        <f t="shared" si="0"/>
        <v>7.0666666666666655</v>
      </c>
      <c r="K19" s="29"/>
      <c r="L19" s="29"/>
    </row>
  </sheetData>
  <mergeCells count="2">
    <mergeCell ref="A1:L1"/>
    <mergeCell ref="A2:L2"/>
  </mergeCells>
  <conditionalFormatting sqref="C4:C18">
    <cfRule type="colorScale" priority="2">
      <colorScale>
        <cfvo type="min"/>
        <cfvo type="num" val="200"/>
        <cfvo type="max"/>
        <color rgb="FF63BE7B"/>
        <color rgb="FFFFEB84"/>
        <color rgb="FFF8696B"/>
      </colorScale>
    </cfRule>
  </conditionalFormatting>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19"/>
  <sheetViews>
    <sheetView workbookViewId="0">
      <selection activeCell="A3" sqref="A3"/>
    </sheetView>
  </sheetViews>
  <sheetFormatPr defaultRowHeight="15" x14ac:dyDescent="0.25"/>
  <cols>
    <col min="1" max="1" width="13.140625" bestFit="1" customWidth="1"/>
    <col min="2" max="2" width="18.42578125" bestFit="1" customWidth="1"/>
  </cols>
  <sheetData>
    <row r="3" spans="1:2" x14ac:dyDescent="0.25">
      <c r="A3" s="128" t="s">
        <v>292</v>
      </c>
      <c r="B3" t="s">
        <v>296</v>
      </c>
    </row>
    <row r="4" spans="1:2" x14ac:dyDescent="0.25">
      <c r="A4" s="129" t="s">
        <v>52</v>
      </c>
      <c r="B4" s="127">
        <v>52</v>
      </c>
    </row>
    <row r="5" spans="1:2" x14ac:dyDescent="0.25">
      <c r="A5" s="129" t="s">
        <v>37</v>
      </c>
      <c r="B5" s="127">
        <v>71</v>
      </c>
    </row>
    <row r="6" spans="1:2" x14ac:dyDescent="0.25">
      <c r="A6" s="129" t="s">
        <v>64</v>
      </c>
      <c r="B6" s="127">
        <v>65</v>
      </c>
    </row>
    <row r="7" spans="1:2" x14ac:dyDescent="0.25">
      <c r="A7" s="129" t="s">
        <v>8</v>
      </c>
      <c r="B7" s="127">
        <v>82</v>
      </c>
    </row>
    <row r="8" spans="1:2" x14ac:dyDescent="0.25">
      <c r="A8" s="129" t="s">
        <v>44</v>
      </c>
      <c r="B8" s="127">
        <v>58</v>
      </c>
    </row>
    <row r="9" spans="1:2" x14ac:dyDescent="0.25">
      <c r="A9" s="129" t="s">
        <v>7</v>
      </c>
      <c r="B9" s="127">
        <v>38</v>
      </c>
    </row>
    <row r="10" spans="1:2" x14ac:dyDescent="0.25">
      <c r="A10" s="129" t="s">
        <v>42</v>
      </c>
      <c r="B10" s="127">
        <v>66</v>
      </c>
    </row>
    <row r="11" spans="1:2" x14ac:dyDescent="0.25">
      <c r="A11" s="129" t="s">
        <v>54</v>
      </c>
      <c r="B11" s="127">
        <v>48</v>
      </c>
    </row>
    <row r="12" spans="1:2" x14ac:dyDescent="0.25">
      <c r="A12" s="129" t="s">
        <v>60</v>
      </c>
      <c r="B12" s="127">
        <v>78</v>
      </c>
    </row>
    <row r="13" spans="1:2" x14ac:dyDescent="0.25">
      <c r="A13" s="129" t="s">
        <v>47</v>
      </c>
      <c r="B13" s="127">
        <v>44</v>
      </c>
    </row>
    <row r="14" spans="1:2" x14ac:dyDescent="0.25">
      <c r="A14" s="129" t="s">
        <v>56</v>
      </c>
      <c r="B14" s="127">
        <v>41</v>
      </c>
    </row>
    <row r="15" spans="1:2" x14ac:dyDescent="0.25">
      <c r="A15" s="129" t="s">
        <v>26</v>
      </c>
      <c r="B15" s="127">
        <v>62</v>
      </c>
    </row>
    <row r="16" spans="1:2" x14ac:dyDescent="0.25">
      <c r="A16" s="129" t="s">
        <v>67</v>
      </c>
      <c r="B16" s="127">
        <v>67</v>
      </c>
    </row>
    <row r="17" spans="1:2" x14ac:dyDescent="0.25">
      <c r="A17" s="129" t="s">
        <v>50</v>
      </c>
      <c r="B17" s="127">
        <v>69</v>
      </c>
    </row>
    <row r="18" spans="1:2" x14ac:dyDescent="0.25">
      <c r="A18" s="129" t="s">
        <v>58</v>
      </c>
      <c r="B18" s="127">
        <v>61</v>
      </c>
    </row>
    <row r="19" spans="1:2" x14ac:dyDescent="0.25">
      <c r="A19" s="129" t="s">
        <v>293</v>
      </c>
      <c r="B19" s="127">
        <v>902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9"/>
  <sheetViews>
    <sheetView showGridLines="0" zoomScaleNormal="100" workbookViewId="0">
      <selection activeCell="C3" sqref="C3:E18"/>
    </sheetView>
  </sheetViews>
  <sheetFormatPr defaultColWidth="8.7109375" defaultRowHeight="15" x14ac:dyDescent="0.25"/>
  <cols>
    <col min="1" max="1" width="16" customWidth="1"/>
    <col min="2" max="3" width="10" customWidth="1"/>
    <col min="4" max="4" width="14" customWidth="1"/>
    <col min="5" max="5" width="10" customWidth="1"/>
    <col min="6" max="6" width="14" customWidth="1"/>
    <col min="7" max="7" width="10" customWidth="1"/>
    <col min="8" max="8" width="18" customWidth="1"/>
    <col min="9" max="10" width="12" customWidth="1"/>
    <col min="11" max="11" width="14" customWidth="1"/>
    <col min="12" max="12" width="28.140625" bestFit="1" customWidth="1"/>
  </cols>
  <sheetData>
    <row r="1" spans="1:12" ht="27.75" customHeight="1" x14ac:dyDescent="0.25">
      <c r="A1" s="168" t="s">
        <v>95</v>
      </c>
      <c r="B1" s="168"/>
      <c r="C1" s="168"/>
      <c r="D1" s="168"/>
      <c r="E1" s="168"/>
      <c r="F1" s="168"/>
      <c r="G1" s="168"/>
      <c r="H1" s="168"/>
      <c r="I1" s="168"/>
      <c r="J1" s="168"/>
      <c r="K1" s="168"/>
      <c r="L1" s="168"/>
    </row>
    <row r="2" spans="1:12" ht="13.5" customHeight="1" x14ac:dyDescent="0.25">
      <c r="A2" s="169" t="s">
        <v>96</v>
      </c>
      <c r="B2" s="169"/>
      <c r="C2" s="169"/>
      <c r="D2" s="169"/>
      <c r="E2" s="169"/>
      <c r="F2" s="169"/>
      <c r="G2" s="169"/>
      <c r="H2" s="169"/>
      <c r="I2" s="169"/>
      <c r="J2" s="169"/>
      <c r="K2" s="169"/>
      <c r="L2" s="169"/>
    </row>
    <row r="3" spans="1:12" ht="27.75" customHeight="1" x14ac:dyDescent="0.25">
      <c r="A3" s="32" t="s">
        <v>15</v>
      </c>
      <c r="B3" s="32" t="s">
        <v>16</v>
      </c>
      <c r="C3" s="32" t="s">
        <v>97</v>
      </c>
      <c r="D3" s="32" t="s">
        <v>72</v>
      </c>
      <c r="E3" s="32" t="s">
        <v>98</v>
      </c>
      <c r="F3" s="32" t="s">
        <v>99</v>
      </c>
      <c r="G3" s="32" t="s">
        <v>100</v>
      </c>
      <c r="H3" s="32" t="s">
        <v>101</v>
      </c>
      <c r="I3" s="32" t="s">
        <v>102</v>
      </c>
      <c r="J3" s="32" t="s">
        <v>103</v>
      </c>
      <c r="K3" s="32" t="s">
        <v>104</v>
      </c>
      <c r="L3" s="32" t="s">
        <v>105</v>
      </c>
    </row>
    <row r="4" spans="1:12" ht="15.75" customHeight="1" x14ac:dyDescent="0.25">
      <c r="A4" s="33" t="s">
        <v>26</v>
      </c>
      <c r="B4" s="34" t="s">
        <v>27</v>
      </c>
      <c r="C4" s="35">
        <v>62</v>
      </c>
      <c r="D4" s="6" t="s">
        <v>29</v>
      </c>
      <c r="E4" s="36">
        <v>7.2</v>
      </c>
      <c r="F4" s="36">
        <v>2.4</v>
      </c>
      <c r="G4" s="37">
        <v>284</v>
      </c>
      <c r="H4" s="37">
        <v>12</v>
      </c>
      <c r="I4" s="36">
        <v>0.6</v>
      </c>
      <c r="J4" s="38">
        <v>6.2</v>
      </c>
      <c r="K4" s="39">
        <v>0.94</v>
      </c>
      <c r="L4" s="34" t="s">
        <v>106</v>
      </c>
    </row>
    <row r="5" spans="1:12" ht="15.75" customHeight="1" x14ac:dyDescent="0.25">
      <c r="A5" s="10" t="s">
        <v>7</v>
      </c>
      <c r="B5" s="11" t="s">
        <v>32</v>
      </c>
      <c r="C5" s="24">
        <v>38</v>
      </c>
      <c r="D5" s="14" t="s">
        <v>34</v>
      </c>
      <c r="E5" s="16">
        <v>7.8</v>
      </c>
      <c r="F5" s="16">
        <v>8.6</v>
      </c>
      <c r="G5" s="40">
        <v>486</v>
      </c>
      <c r="H5" s="40">
        <v>240</v>
      </c>
      <c r="I5" s="16">
        <v>1.2</v>
      </c>
      <c r="J5" s="25">
        <v>3.8</v>
      </c>
      <c r="K5" s="15">
        <v>0.82</v>
      </c>
      <c r="L5" s="11" t="s">
        <v>107</v>
      </c>
    </row>
    <row r="6" spans="1:12" ht="15.75" customHeight="1" x14ac:dyDescent="0.25">
      <c r="A6" s="33" t="s">
        <v>37</v>
      </c>
      <c r="B6" s="34" t="s">
        <v>38</v>
      </c>
      <c r="C6" s="35">
        <v>71</v>
      </c>
      <c r="D6" s="6" t="s">
        <v>29</v>
      </c>
      <c r="E6" s="36">
        <v>7.1</v>
      </c>
      <c r="F6" s="36">
        <v>1.8</v>
      </c>
      <c r="G6" s="37">
        <v>242</v>
      </c>
      <c r="H6" s="37">
        <v>6</v>
      </c>
      <c r="I6" s="36">
        <v>0.4</v>
      </c>
      <c r="J6" s="38">
        <v>7.1</v>
      </c>
      <c r="K6" s="39">
        <v>0.91</v>
      </c>
      <c r="L6" s="34" t="s">
        <v>108</v>
      </c>
    </row>
    <row r="7" spans="1:12" ht="15.75" customHeight="1" x14ac:dyDescent="0.25">
      <c r="A7" s="10" t="s">
        <v>42</v>
      </c>
      <c r="B7" s="11" t="s">
        <v>38</v>
      </c>
      <c r="C7" s="24">
        <v>66</v>
      </c>
      <c r="D7" s="6" t="s">
        <v>29</v>
      </c>
      <c r="E7" s="16">
        <v>7.3</v>
      </c>
      <c r="F7" s="16">
        <v>2.1</v>
      </c>
      <c r="G7" s="40">
        <v>268</v>
      </c>
      <c r="H7" s="40">
        <v>9</v>
      </c>
      <c r="I7" s="16">
        <v>0.5</v>
      </c>
      <c r="J7" s="25">
        <v>6.6</v>
      </c>
      <c r="K7" s="15">
        <v>0.89</v>
      </c>
      <c r="L7" s="11" t="s">
        <v>109</v>
      </c>
    </row>
    <row r="8" spans="1:12" ht="15.75" customHeight="1" x14ac:dyDescent="0.25">
      <c r="A8" s="33" t="s">
        <v>44</v>
      </c>
      <c r="B8" s="34" t="s">
        <v>38</v>
      </c>
      <c r="C8" s="35">
        <v>58</v>
      </c>
      <c r="D8" s="5" t="s">
        <v>45</v>
      </c>
      <c r="E8" s="36">
        <v>7.5</v>
      </c>
      <c r="F8" s="36">
        <v>4.2</v>
      </c>
      <c r="G8" s="37">
        <v>364</v>
      </c>
      <c r="H8" s="37">
        <v>68</v>
      </c>
      <c r="I8" s="36">
        <v>0.8</v>
      </c>
      <c r="J8" s="38">
        <v>5.8</v>
      </c>
      <c r="K8" s="39">
        <v>0.86</v>
      </c>
      <c r="L8" s="34" t="s">
        <v>110</v>
      </c>
    </row>
    <row r="9" spans="1:12" ht="15.75" customHeight="1" x14ac:dyDescent="0.25">
      <c r="A9" s="10" t="s">
        <v>47</v>
      </c>
      <c r="B9" s="11" t="s">
        <v>48</v>
      </c>
      <c r="C9" s="24">
        <v>44</v>
      </c>
      <c r="D9" s="5" t="s">
        <v>45</v>
      </c>
      <c r="E9" s="16">
        <v>7.6</v>
      </c>
      <c r="F9" s="16">
        <v>6.8</v>
      </c>
      <c r="G9" s="40">
        <v>428</v>
      </c>
      <c r="H9" s="40">
        <v>148</v>
      </c>
      <c r="I9" s="16">
        <v>1</v>
      </c>
      <c r="J9" s="25">
        <v>4.4000000000000004</v>
      </c>
      <c r="K9" s="15">
        <v>0.8</v>
      </c>
      <c r="L9" s="11" t="s">
        <v>111</v>
      </c>
    </row>
    <row r="10" spans="1:12" ht="15.75" customHeight="1" x14ac:dyDescent="0.25">
      <c r="A10" s="33" t="s">
        <v>50</v>
      </c>
      <c r="B10" s="34" t="s">
        <v>27</v>
      </c>
      <c r="C10" s="35">
        <v>69</v>
      </c>
      <c r="D10" s="6" t="s">
        <v>29</v>
      </c>
      <c r="E10" s="36">
        <v>7.2</v>
      </c>
      <c r="F10" s="36">
        <v>2</v>
      </c>
      <c r="G10" s="37">
        <v>258</v>
      </c>
      <c r="H10" s="37">
        <v>8</v>
      </c>
      <c r="I10" s="36">
        <v>0.4</v>
      </c>
      <c r="J10" s="38">
        <v>6.9</v>
      </c>
      <c r="K10" s="39">
        <v>0.92</v>
      </c>
      <c r="L10" s="34" t="s">
        <v>112</v>
      </c>
    </row>
    <row r="11" spans="1:12" ht="15.75" customHeight="1" x14ac:dyDescent="0.25">
      <c r="A11" s="10" t="s">
        <v>52</v>
      </c>
      <c r="B11" s="11" t="s">
        <v>27</v>
      </c>
      <c r="C11" s="24">
        <v>52</v>
      </c>
      <c r="D11" s="5" t="s">
        <v>45</v>
      </c>
      <c r="E11" s="16">
        <v>7.4</v>
      </c>
      <c r="F11" s="16">
        <v>4.8</v>
      </c>
      <c r="G11" s="40">
        <v>382</v>
      </c>
      <c r="H11" s="40">
        <v>84</v>
      </c>
      <c r="I11" s="16">
        <v>0.9</v>
      </c>
      <c r="J11" s="25">
        <v>5.2</v>
      </c>
      <c r="K11" s="15">
        <v>0.85</v>
      </c>
      <c r="L11" s="11" t="s">
        <v>113</v>
      </c>
    </row>
    <row r="12" spans="1:12" ht="15.75" customHeight="1" x14ac:dyDescent="0.25">
      <c r="A12" s="33" t="s">
        <v>54</v>
      </c>
      <c r="B12" s="34" t="s">
        <v>32</v>
      </c>
      <c r="C12" s="35">
        <v>48</v>
      </c>
      <c r="D12" s="5" t="s">
        <v>45</v>
      </c>
      <c r="E12" s="36">
        <v>7.6</v>
      </c>
      <c r="F12" s="36">
        <v>5.4</v>
      </c>
      <c r="G12" s="37">
        <v>418</v>
      </c>
      <c r="H12" s="37">
        <v>112</v>
      </c>
      <c r="I12" s="36">
        <v>1.1000000000000001</v>
      </c>
      <c r="J12" s="38">
        <v>4.8</v>
      </c>
      <c r="K12" s="39">
        <v>0.78</v>
      </c>
      <c r="L12" s="34" t="s">
        <v>114</v>
      </c>
    </row>
    <row r="13" spans="1:12" ht="15.75" customHeight="1" x14ac:dyDescent="0.25">
      <c r="A13" s="10" t="s">
        <v>56</v>
      </c>
      <c r="B13" s="11" t="s">
        <v>32</v>
      </c>
      <c r="C13" s="24">
        <v>41</v>
      </c>
      <c r="D13" s="5" t="s">
        <v>45</v>
      </c>
      <c r="E13" s="16">
        <v>7.7</v>
      </c>
      <c r="F13" s="16">
        <v>7.2</v>
      </c>
      <c r="G13" s="40">
        <v>458</v>
      </c>
      <c r="H13" s="40">
        <v>196</v>
      </c>
      <c r="I13" s="16">
        <v>1.1000000000000001</v>
      </c>
      <c r="J13" s="25">
        <v>4.0999999999999996</v>
      </c>
      <c r="K13" s="15">
        <v>0.74</v>
      </c>
      <c r="L13" s="11" t="s">
        <v>115</v>
      </c>
    </row>
    <row r="14" spans="1:12" ht="15.75" customHeight="1" x14ac:dyDescent="0.25">
      <c r="A14" s="33" t="s">
        <v>58</v>
      </c>
      <c r="B14" s="34" t="s">
        <v>27</v>
      </c>
      <c r="C14" s="35">
        <v>61</v>
      </c>
      <c r="D14" s="6" t="s">
        <v>29</v>
      </c>
      <c r="E14" s="36">
        <v>7.3</v>
      </c>
      <c r="F14" s="36">
        <v>3.2</v>
      </c>
      <c r="G14" s="37">
        <v>318</v>
      </c>
      <c r="H14" s="37">
        <v>42</v>
      </c>
      <c r="I14" s="36">
        <v>0.7</v>
      </c>
      <c r="J14" s="38">
        <v>6.1</v>
      </c>
      <c r="K14" s="39">
        <v>0.88</v>
      </c>
      <c r="L14" s="34" t="s">
        <v>116</v>
      </c>
    </row>
    <row r="15" spans="1:12" ht="15.75" customHeight="1" x14ac:dyDescent="0.25">
      <c r="A15" s="10" t="s">
        <v>60</v>
      </c>
      <c r="B15" s="11" t="s">
        <v>38</v>
      </c>
      <c r="C15" s="24">
        <v>78</v>
      </c>
      <c r="D15" s="6" t="s">
        <v>29</v>
      </c>
      <c r="E15" s="16">
        <v>7</v>
      </c>
      <c r="F15" s="16">
        <v>1.4</v>
      </c>
      <c r="G15" s="40">
        <v>198</v>
      </c>
      <c r="H15" s="40">
        <v>4</v>
      </c>
      <c r="I15" s="16">
        <v>0.3</v>
      </c>
      <c r="J15" s="25">
        <v>7.8</v>
      </c>
      <c r="K15" s="15">
        <v>0.96</v>
      </c>
      <c r="L15" s="11" t="s">
        <v>117</v>
      </c>
    </row>
    <row r="16" spans="1:12" ht="15.75" customHeight="1" x14ac:dyDescent="0.25">
      <c r="A16" s="33" t="s">
        <v>8</v>
      </c>
      <c r="B16" s="34" t="s">
        <v>32</v>
      </c>
      <c r="C16" s="35">
        <v>82</v>
      </c>
      <c r="D16" s="19" t="s">
        <v>62</v>
      </c>
      <c r="E16" s="36">
        <v>7.1</v>
      </c>
      <c r="F16" s="36">
        <v>0.8</v>
      </c>
      <c r="G16" s="37">
        <v>164</v>
      </c>
      <c r="H16" s="37">
        <v>2</v>
      </c>
      <c r="I16" s="36">
        <v>0.2</v>
      </c>
      <c r="J16" s="38">
        <v>8.1999999999999993</v>
      </c>
      <c r="K16" s="39">
        <v>0.98</v>
      </c>
      <c r="L16" s="34" t="s">
        <v>118</v>
      </c>
    </row>
    <row r="17" spans="1:12" ht="15.75" customHeight="1" x14ac:dyDescent="0.25">
      <c r="A17" s="10" t="s">
        <v>64</v>
      </c>
      <c r="B17" s="11" t="s">
        <v>65</v>
      </c>
      <c r="C17" s="24">
        <v>65</v>
      </c>
      <c r="D17" s="6" t="s">
        <v>29</v>
      </c>
      <c r="E17" s="16">
        <v>7.2</v>
      </c>
      <c r="F17" s="16">
        <v>2.4</v>
      </c>
      <c r="G17" s="40">
        <v>268</v>
      </c>
      <c r="H17" s="40">
        <v>14</v>
      </c>
      <c r="I17" s="16">
        <v>0.5</v>
      </c>
      <c r="J17" s="25">
        <v>6.5</v>
      </c>
      <c r="K17" s="15">
        <v>0.9</v>
      </c>
      <c r="L17" s="11" t="s">
        <v>119</v>
      </c>
    </row>
    <row r="18" spans="1:12" ht="15.75" customHeight="1" x14ac:dyDescent="0.25">
      <c r="A18" s="33" t="s">
        <v>67</v>
      </c>
      <c r="B18" s="34" t="s">
        <v>65</v>
      </c>
      <c r="C18" s="35">
        <v>67</v>
      </c>
      <c r="D18" s="6" t="s">
        <v>29</v>
      </c>
      <c r="E18" s="36">
        <v>7.2</v>
      </c>
      <c r="F18" s="36">
        <v>1.9</v>
      </c>
      <c r="G18" s="37">
        <v>248</v>
      </c>
      <c r="H18" s="37">
        <v>10</v>
      </c>
      <c r="I18" s="36">
        <v>0.4</v>
      </c>
      <c r="J18" s="38">
        <v>6.7</v>
      </c>
      <c r="K18" s="39">
        <v>0.91</v>
      </c>
      <c r="L18" s="34" t="s">
        <v>120</v>
      </c>
    </row>
    <row r="19" spans="1:12" ht="18" customHeight="1" x14ac:dyDescent="0.25">
      <c r="A19" s="41" t="s">
        <v>94</v>
      </c>
      <c r="B19" s="41"/>
      <c r="C19" s="42">
        <f>AVERAGE(C4:C18)</f>
        <v>60.133333333333333</v>
      </c>
      <c r="D19" s="41"/>
      <c r="E19" s="43">
        <f t="shared" ref="E19:K19" si="0">AVERAGE(E4:E18)</f>
        <v>7.3466666666666667</v>
      </c>
      <c r="F19" s="43">
        <f t="shared" si="0"/>
        <v>3.6666666666666665</v>
      </c>
      <c r="G19" s="42">
        <f t="shared" si="0"/>
        <v>318.93333333333334</v>
      </c>
      <c r="H19" s="42">
        <f t="shared" si="0"/>
        <v>63.666666666666664</v>
      </c>
      <c r="I19" s="43">
        <f t="shared" si="0"/>
        <v>0.67333333333333334</v>
      </c>
      <c r="J19" s="43">
        <f t="shared" si="0"/>
        <v>6.0133333333333345</v>
      </c>
      <c r="K19" s="44">
        <f t="shared" si="0"/>
        <v>0.87600000000000011</v>
      </c>
      <c r="L19" s="41"/>
    </row>
  </sheetData>
  <mergeCells count="2">
    <mergeCell ref="A1:L1"/>
    <mergeCell ref="A2:L2"/>
  </mergeCells>
  <conditionalFormatting sqref="C4:C18">
    <cfRule type="colorScale" priority="2">
      <colorScale>
        <cfvo type="min"/>
        <cfvo type="num" val="60"/>
        <cfvo type="max"/>
        <color rgb="FFF8696B"/>
        <color rgb="FFFFEB84"/>
        <color rgb="FF63BE7B"/>
      </colorScale>
    </cfRule>
  </conditionalFormatting>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9"/>
  <sheetViews>
    <sheetView showGridLines="0" zoomScaleNormal="100" workbookViewId="0">
      <selection activeCell="I3" sqref="I3:I18"/>
    </sheetView>
  </sheetViews>
  <sheetFormatPr defaultColWidth="8.7109375" defaultRowHeight="15" x14ac:dyDescent="0.25"/>
  <cols>
    <col min="1" max="1" width="16" customWidth="1"/>
    <col min="2" max="2" width="10" customWidth="1"/>
    <col min="3" max="3" width="12" customWidth="1"/>
    <col min="4" max="4" width="14" customWidth="1"/>
    <col min="5" max="6" width="12" customWidth="1"/>
    <col min="7" max="7" width="16" customWidth="1"/>
    <col min="8" max="8" width="18" customWidth="1"/>
    <col min="9" max="9" width="12" customWidth="1"/>
    <col min="10" max="10" width="28" customWidth="1"/>
  </cols>
  <sheetData>
    <row r="1" spans="1:10" ht="27.75" customHeight="1" x14ac:dyDescent="0.25">
      <c r="A1" s="170" t="s">
        <v>121</v>
      </c>
      <c r="B1" s="170"/>
      <c r="C1" s="170"/>
      <c r="D1" s="170"/>
      <c r="E1" s="170"/>
      <c r="F1" s="170"/>
      <c r="G1" s="170"/>
      <c r="H1" s="170"/>
      <c r="I1" s="170"/>
      <c r="J1" s="170"/>
    </row>
    <row r="2" spans="1:10" ht="13.5" customHeight="1" x14ac:dyDescent="0.25">
      <c r="A2" s="171" t="s">
        <v>122</v>
      </c>
      <c r="B2" s="171"/>
      <c r="C2" s="171"/>
      <c r="D2" s="171"/>
      <c r="E2" s="171"/>
      <c r="F2" s="171"/>
      <c r="G2" s="171"/>
      <c r="H2" s="171"/>
      <c r="I2" s="171"/>
      <c r="J2" s="171"/>
    </row>
    <row r="3" spans="1:10" ht="27.75" customHeight="1" x14ac:dyDescent="0.25">
      <c r="A3" s="45" t="s">
        <v>15</v>
      </c>
      <c r="B3" s="45" t="s">
        <v>16</v>
      </c>
      <c r="C3" s="45" t="s">
        <v>123</v>
      </c>
      <c r="D3" s="45" t="s">
        <v>72</v>
      </c>
      <c r="E3" s="45" t="s">
        <v>124</v>
      </c>
      <c r="F3" s="45" t="s">
        <v>125</v>
      </c>
      <c r="G3" s="45" t="s">
        <v>126</v>
      </c>
      <c r="H3" s="45" t="s">
        <v>127</v>
      </c>
      <c r="I3" s="45" t="s">
        <v>128</v>
      </c>
      <c r="J3" s="45" t="s">
        <v>129</v>
      </c>
    </row>
    <row r="4" spans="1:10" ht="15.75" customHeight="1" x14ac:dyDescent="0.25">
      <c r="A4" s="46" t="s">
        <v>26</v>
      </c>
      <c r="B4" s="47" t="s">
        <v>27</v>
      </c>
      <c r="C4" s="48">
        <v>72</v>
      </c>
      <c r="D4" s="5" t="s">
        <v>30</v>
      </c>
      <c r="E4" s="49">
        <v>74.2</v>
      </c>
      <c r="F4" s="49">
        <v>68.8</v>
      </c>
      <c r="G4" s="49">
        <v>76.400000000000006</v>
      </c>
      <c r="H4" s="49">
        <v>68.2</v>
      </c>
      <c r="I4" s="50">
        <v>5.6</v>
      </c>
      <c r="J4" s="47" t="s">
        <v>130</v>
      </c>
    </row>
    <row r="5" spans="1:10" ht="15.75" customHeight="1" x14ac:dyDescent="0.25">
      <c r="A5" s="10" t="s">
        <v>7</v>
      </c>
      <c r="B5" s="11" t="s">
        <v>32</v>
      </c>
      <c r="C5" s="51">
        <v>85</v>
      </c>
      <c r="D5" s="14" t="s">
        <v>35</v>
      </c>
      <c r="E5" s="16">
        <v>88.4</v>
      </c>
      <c r="F5" s="16">
        <v>80.2</v>
      </c>
      <c r="G5" s="16">
        <v>90.6</v>
      </c>
      <c r="H5" s="16">
        <v>78.400000000000006</v>
      </c>
      <c r="I5" s="25">
        <v>3</v>
      </c>
      <c r="J5" s="11" t="s">
        <v>131</v>
      </c>
    </row>
    <row r="6" spans="1:10" ht="15.75" customHeight="1" x14ac:dyDescent="0.25">
      <c r="A6" s="46" t="s">
        <v>37</v>
      </c>
      <c r="B6" s="47" t="s">
        <v>38</v>
      </c>
      <c r="C6" s="48">
        <v>65</v>
      </c>
      <c r="D6" s="6" t="s">
        <v>40</v>
      </c>
      <c r="E6" s="49">
        <v>68.2</v>
      </c>
      <c r="F6" s="49">
        <v>60.4</v>
      </c>
      <c r="G6" s="49">
        <v>70.8</v>
      </c>
      <c r="H6" s="49">
        <v>58.6</v>
      </c>
      <c r="I6" s="50">
        <v>7</v>
      </c>
      <c r="J6" s="47" t="s">
        <v>132</v>
      </c>
    </row>
    <row r="7" spans="1:10" ht="15.75" customHeight="1" x14ac:dyDescent="0.25">
      <c r="A7" s="10" t="s">
        <v>42</v>
      </c>
      <c r="B7" s="11" t="s">
        <v>38</v>
      </c>
      <c r="C7" s="51">
        <v>68</v>
      </c>
      <c r="D7" s="5" t="s">
        <v>30</v>
      </c>
      <c r="E7" s="16">
        <v>70.400000000000006</v>
      </c>
      <c r="F7" s="16">
        <v>64.2</v>
      </c>
      <c r="G7" s="16">
        <v>72.599999999999994</v>
      </c>
      <c r="H7" s="16">
        <v>62.4</v>
      </c>
      <c r="I7" s="25">
        <v>6.4</v>
      </c>
      <c r="J7" s="11" t="s">
        <v>133</v>
      </c>
    </row>
    <row r="8" spans="1:10" ht="15.75" customHeight="1" x14ac:dyDescent="0.25">
      <c r="A8" s="46" t="s">
        <v>44</v>
      </c>
      <c r="B8" s="47" t="s">
        <v>38</v>
      </c>
      <c r="C8" s="48">
        <v>70</v>
      </c>
      <c r="D8" s="5" t="s">
        <v>30</v>
      </c>
      <c r="E8" s="49">
        <v>72.599999999999994</v>
      </c>
      <c r="F8" s="49">
        <v>66.8</v>
      </c>
      <c r="G8" s="49">
        <v>74.2</v>
      </c>
      <c r="H8" s="49">
        <v>64.8</v>
      </c>
      <c r="I8" s="50">
        <v>6</v>
      </c>
      <c r="J8" s="47" t="s">
        <v>134</v>
      </c>
    </row>
    <row r="9" spans="1:10" ht="15.75" customHeight="1" x14ac:dyDescent="0.25">
      <c r="A9" s="10" t="s">
        <v>47</v>
      </c>
      <c r="B9" s="11" t="s">
        <v>48</v>
      </c>
      <c r="C9" s="51">
        <v>78</v>
      </c>
      <c r="D9" s="14" t="s">
        <v>35</v>
      </c>
      <c r="E9" s="16">
        <v>80.400000000000006</v>
      </c>
      <c r="F9" s="16">
        <v>74.599999999999994</v>
      </c>
      <c r="G9" s="16">
        <v>82.8</v>
      </c>
      <c r="H9" s="16">
        <v>72.400000000000006</v>
      </c>
      <c r="I9" s="25">
        <v>4.4000000000000004</v>
      </c>
      <c r="J9" s="11" t="s">
        <v>135</v>
      </c>
    </row>
    <row r="10" spans="1:10" ht="15.75" customHeight="1" x14ac:dyDescent="0.25">
      <c r="A10" s="46" t="s">
        <v>50</v>
      </c>
      <c r="B10" s="47" t="s">
        <v>27</v>
      </c>
      <c r="C10" s="48">
        <v>67</v>
      </c>
      <c r="D10" s="5" t="s">
        <v>30</v>
      </c>
      <c r="E10" s="49">
        <v>68.8</v>
      </c>
      <c r="F10" s="49">
        <v>62.4</v>
      </c>
      <c r="G10" s="49">
        <v>70.400000000000006</v>
      </c>
      <c r="H10" s="49">
        <v>60.2</v>
      </c>
      <c r="I10" s="50">
        <v>6.6</v>
      </c>
      <c r="J10" s="47" t="s">
        <v>136</v>
      </c>
    </row>
    <row r="11" spans="1:10" ht="15.75" customHeight="1" x14ac:dyDescent="0.25">
      <c r="A11" s="10" t="s">
        <v>52</v>
      </c>
      <c r="B11" s="11" t="s">
        <v>27</v>
      </c>
      <c r="C11" s="51">
        <v>74</v>
      </c>
      <c r="D11" s="5" t="s">
        <v>30</v>
      </c>
      <c r="E11" s="16">
        <v>76.2</v>
      </c>
      <c r="F11" s="16">
        <v>70.8</v>
      </c>
      <c r="G11" s="16">
        <v>78.400000000000006</v>
      </c>
      <c r="H11" s="16">
        <v>68.599999999999994</v>
      </c>
      <c r="I11" s="25">
        <v>5.2</v>
      </c>
      <c r="J11" s="11" t="s">
        <v>137</v>
      </c>
    </row>
    <row r="12" spans="1:10" ht="15.75" customHeight="1" x14ac:dyDescent="0.25">
      <c r="A12" s="46" t="s">
        <v>54</v>
      </c>
      <c r="B12" s="47" t="s">
        <v>32</v>
      </c>
      <c r="C12" s="48">
        <v>76</v>
      </c>
      <c r="D12" s="14" t="s">
        <v>35</v>
      </c>
      <c r="E12" s="49">
        <v>78.599999999999994</v>
      </c>
      <c r="F12" s="49">
        <v>72.400000000000006</v>
      </c>
      <c r="G12" s="49">
        <v>80.2</v>
      </c>
      <c r="H12" s="49">
        <v>70.400000000000006</v>
      </c>
      <c r="I12" s="50">
        <v>4.8</v>
      </c>
      <c r="J12" s="47" t="s">
        <v>138</v>
      </c>
    </row>
    <row r="13" spans="1:10" ht="15.75" customHeight="1" x14ac:dyDescent="0.25">
      <c r="A13" s="10" t="s">
        <v>56</v>
      </c>
      <c r="B13" s="11" t="s">
        <v>32</v>
      </c>
      <c r="C13" s="51">
        <v>80</v>
      </c>
      <c r="D13" s="14" t="s">
        <v>35</v>
      </c>
      <c r="E13" s="16">
        <v>82.4</v>
      </c>
      <c r="F13" s="16">
        <v>76.2</v>
      </c>
      <c r="G13" s="16">
        <v>84.6</v>
      </c>
      <c r="H13" s="16">
        <v>74.2</v>
      </c>
      <c r="I13" s="25">
        <v>4</v>
      </c>
      <c r="J13" s="11" t="s">
        <v>139</v>
      </c>
    </row>
    <row r="14" spans="1:10" ht="15.75" customHeight="1" x14ac:dyDescent="0.25">
      <c r="A14" s="46" t="s">
        <v>58</v>
      </c>
      <c r="B14" s="47" t="s">
        <v>27</v>
      </c>
      <c r="C14" s="48">
        <v>69</v>
      </c>
      <c r="D14" s="5" t="s">
        <v>30</v>
      </c>
      <c r="E14" s="49">
        <v>70.599999999999994</v>
      </c>
      <c r="F14" s="49">
        <v>64.8</v>
      </c>
      <c r="G14" s="49">
        <v>72.400000000000006</v>
      </c>
      <c r="H14" s="49">
        <v>64.599999999999994</v>
      </c>
      <c r="I14" s="50">
        <v>6.2</v>
      </c>
      <c r="J14" s="47" t="s">
        <v>140</v>
      </c>
    </row>
    <row r="15" spans="1:10" ht="15.75" customHeight="1" x14ac:dyDescent="0.25">
      <c r="A15" s="10" t="s">
        <v>60</v>
      </c>
      <c r="B15" s="11" t="s">
        <v>38</v>
      </c>
      <c r="C15" s="51">
        <v>61</v>
      </c>
      <c r="D15" s="6" t="s">
        <v>40</v>
      </c>
      <c r="E15" s="16">
        <v>62.8</v>
      </c>
      <c r="F15" s="16">
        <v>56.4</v>
      </c>
      <c r="G15" s="16">
        <v>64.599999999999994</v>
      </c>
      <c r="H15" s="16">
        <v>54.8</v>
      </c>
      <c r="I15" s="25">
        <v>7.8</v>
      </c>
      <c r="J15" s="11" t="s">
        <v>141</v>
      </c>
    </row>
    <row r="16" spans="1:10" ht="15.75" customHeight="1" x14ac:dyDescent="0.25">
      <c r="A16" s="46" t="s">
        <v>8</v>
      </c>
      <c r="B16" s="47" t="s">
        <v>32</v>
      </c>
      <c r="C16" s="48">
        <v>58</v>
      </c>
      <c r="D16" s="6" t="s">
        <v>40</v>
      </c>
      <c r="E16" s="49">
        <v>60.2</v>
      </c>
      <c r="F16" s="49">
        <v>54.4</v>
      </c>
      <c r="G16" s="49">
        <v>62.4</v>
      </c>
      <c r="H16" s="49">
        <v>52.6</v>
      </c>
      <c r="I16" s="50">
        <v>8.4</v>
      </c>
      <c r="J16" s="47" t="s">
        <v>142</v>
      </c>
    </row>
    <row r="17" spans="1:10" ht="15.75" customHeight="1" x14ac:dyDescent="0.25">
      <c r="A17" s="10" t="s">
        <v>64</v>
      </c>
      <c r="B17" s="11" t="s">
        <v>65</v>
      </c>
      <c r="C17" s="51">
        <v>66</v>
      </c>
      <c r="D17" s="5" t="s">
        <v>30</v>
      </c>
      <c r="E17" s="16">
        <v>68.400000000000006</v>
      </c>
      <c r="F17" s="16">
        <v>62.2</v>
      </c>
      <c r="G17" s="16">
        <v>70.2</v>
      </c>
      <c r="H17" s="16">
        <v>60.4</v>
      </c>
      <c r="I17" s="25">
        <v>6.8</v>
      </c>
      <c r="J17" s="11" t="s">
        <v>143</v>
      </c>
    </row>
    <row r="18" spans="1:10" ht="15.75" customHeight="1" x14ac:dyDescent="0.25">
      <c r="A18" s="46" t="s">
        <v>67</v>
      </c>
      <c r="B18" s="47" t="s">
        <v>65</v>
      </c>
      <c r="C18" s="48">
        <v>64</v>
      </c>
      <c r="D18" s="6" t="s">
        <v>40</v>
      </c>
      <c r="E18" s="49">
        <v>66.2</v>
      </c>
      <c r="F18" s="49">
        <v>60.4</v>
      </c>
      <c r="G18" s="49">
        <v>68.400000000000006</v>
      </c>
      <c r="H18" s="49">
        <v>58.2</v>
      </c>
      <c r="I18" s="50">
        <v>7.2</v>
      </c>
      <c r="J18" s="47" t="s">
        <v>144</v>
      </c>
    </row>
    <row r="19" spans="1:10" ht="18" customHeight="1" x14ac:dyDescent="0.25">
      <c r="A19" s="52" t="s">
        <v>94</v>
      </c>
      <c r="B19" s="52"/>
      <c r="C19" s="53">
        <f>AVERAGE(C4:C18)</f>
        <v>70.2</v>
      </c>
      <c r="D19" s="52"/>
      <c r="E19" s="54">
        <f>AVERAGE(E4:E18)</f>
        <v>72.56</v>
      </c>
      <c r="F19" s="54">
        <f>AVERAGE(F4:F18)</f>
        <v>66.333333333333329</v>
      </c>
      <c r="G19" s="54">
        <f>AVERAGE(G4:G18)</f>
        <v>74.599999999999994</v>
      </c>
      <c r="H19" s="54">
        <f>AVERAGE(H4:H18)</f>
        <v>64.586666666666673</v>
      </c>
      <c r="I19" s="54">
        <f>AVERAGE(I4:I18)</f>
        <v>5.96</v>
      </c>
      <c r="J19" s="52"/>
    </row>
  </sheetData>
  <mergeCells count="2">
    <mergeCell ref="A1:J1"/>
    <mergeCell ref="A2:J2"/>
  </mergeCells>
  <conditionalFormatting sqref="C4:C18">
    <cfRule type="colorScale" priority="2">
      <colorScale>
        <cfvo type="min"/>
        <cfvo type="num" val="70"/>
        <cfvo type="max"/>
        <color rgb="FF63BE7B"/>
        <color rgb="FFFFEB84"/>
        <color rgb="FFF8696B"/>
      </colorScale>
    </cfRule>
  </conditionalFormatting>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9"/>
  <sheetViews>
    <sheetView showGridLines="0" zoomScaleNormal="100" workbookViewId="0">
      <selection activeCell="J3" sqref="J3:K18"/>
    </sheetView>
  </sheetViews>
  <sheetFormatPr defaultColWidth="8.7109375" defaultRowHeight="15" x14ac:dyDescent="0.25"/>
  <cols>
    <col min="1" max="1" width="16" customWidth="1"/>
    <col min="2" max="2" width="10" customWidth="1"/>
    <col min="3" max="5" width="16" customWidth="1"/>
    <col min="6" max="7" width="14" customWidth="1"/>
    <col min="8" max="8" width="12" customWidth="1"/>
    <col min="9" max="9" width="14" customWidth="1"/>
    <col min="10" max="11" width="12" customWidth="1"/>
  </cols>
  <sheetData>
    <row r="1" spans="1:11" ht="27.75" customHeight="1" x14ac:dyDescent="0.25">
      <c r="A1" s="172" t="s">
        <v>145</v>
      </c>
      <c r="B1" s="172"/>
      <c r="C1" s="172"/>
      <c r="D1" s="172"/>
      <c r="E1" s="172"/>
      <c r="F1" s="172"/>
      <c r="G1" s="172"/>
      <c r="H1" s="172"/>
      <c r="I1" s="172"/>
      <c r="J1" s="172"/>
      <c r="K1" s="172"/>
    </row>
    <row r="3" spans="1:11" ht="27.75" customHeight="1" x14ac:dyDescent="0.25">
      <c r="A3" s="55" t="s">
        <v>15</v>
      </c>
      <c r="B3" s="55" t="s">
        <v>16</v>
      </c>
      <c r="C3" s="55" t="s">
        <v>146</v>
      </c>
      <c r="D3" s="55" t="s">
        <v>147</v>
      </c>
      <c r="E3" s="55" t="s">
        <v>148</v>
      </c>
      <c r="F3" s="55" t="s">
        <v>149</v>
      </c>
      <c r="G3" s="55" t="s">
        <v>150</v>
      </c>
      <c r="H3" s="55" t="s">
        <v>151</v>
      </c>
      <c r="I3" s="55" t="s">
        <v>152</v>
      </c>
      <c r="J3" s="55" t="s">
        <v>153</v>
      </c>
      <c r="K3" s="55" t="s">
        <v>154</v>
      </c>
    </row>
    <row r="4" spans="1:11" ht="15.75" customHeight="1" x14ac:dyDescent="0.25">
      <c r="A4" s="2" t="s">
        <v>26</v>
      </c>
      <c r="B4" s="3" t="s">
        <v>27</v>
      </c>
      <c r="C4" s="56">
        <v>0.68</v>
      </c>
      <c r="D4" s="57">
        <v>9600</v>
      </c>
      <c r="E4" s="57">
        <v>6528</v>
      </c>
      <c r="F4" s="58">
        <v>0.68</v>
      </c>
      <c r="G4" s="7">
        <v>0.22</v>
      </c>
      <c r="H4" s="7">
        <v>0.48</v>
      </c>
      <c r="I4" s="7">
        <v>0.18</v>
      </c>
      <c r="J4" s="22">
        <v>6.8</v>
      </c>
      <c r="K4" s="6" t="s">
        <v>29</v>
      </c>
    </row>
    <row r="5" spans="1:11" ht="15.75" customHeight="1" x14ac:dyDescent="0.25">
      <c r="A5" s="10" t="s">
        <v>7</v>
      </c>
      <c r="B5" s="11" t="s">
        <v>32</v>
      </c>
      <c r="C5" s="59">
        <v>0.42</v>
      </c>
      <c r="D5" s="60">
        <v>10500</v>
      </c>
      <c r="E5" s="60">
        <v>4410</v>
      </c>
      <c r="F5" s="61">
        <v>0.42</v>
      </c>
      <c r="G5" s="15">
        <v>0.14000000000000001</v>
      </c>
      <c r="H5" s="15">
        <v>0.62</v>
      </c>
      <c r="I5" s="15">
        <v>0.1</v>
      </c>
      <c r="J5" s="25">
        <v>4.2</v>
      </c>
      <c r="K5" s="14" t="s">
        <v>34</v>
      </c>
    </row>
    <row r="6" spans="1:11" ht="15.75" customHeight="1" x14ac:dyDescent="0.25">
      <c r="A6" s="2" t="s">
        <v>37</v>
      </c>
      <c r="B6" s="3" t="s">
        <v>38</v>
      </c>
      <c r="C6" s="56">
        <v>0.74</v>
      </c>
      <c r="D6" s="57">
        <v>5800</v>
      </c>
      <c r="E6" s="57">
        <v>4292</v>
      </c>
      <c r="F6" s="58">
        <v>0.74</v>
      </c>
      <c r="G6" s="7">
        <v>0.28000000000000003</v>
      </c>
      <c r="H6" s="7">
        <v>0.38</v>
      </c>
      <c r="I6" s="7">
        <v>0.22</v>
      </c>
      <c r="J6" s="22">
        <v>7.4</v>
      </c>
      <c r="K6" s="6" t="s">
        <v>29</v>
      </c>
    </row>
    <row r="7" spans="1:11" ht="15.75" customHeight="1" x14ac:dyDescent="0.25">
      <c r="A7" s="10" t="s">
        <v>42</v>
      </c>
      <c r="B7" s="11" t="s">
        <v>38</v>
      </c>
      <c r="C7" s="59">
        <v>0.71</v>
      </c>
      <c r="D7" s="60">
        <v>5200</v>
      </c>
      <c r="E7" s="60">
        <v>3692</v>
      </c>
      <c r="F7" s="61">
        <v>0.71</v>
      </c>
      <c r="G7" s="15">
        <v>0.24</v>
      </c>
      <c r="H7" s="15">
        <v>0.42</v>
      </c>
      <c r="I7" s="15">
        <v>0.2</v>
      </c>
      <c r="J7" s="25">
        <v>7.1</v>
      </c>
      <c r="K7" s="6" t="s">
        <v>29</v>
      </c>
    </row>
    <row r="8" spans="1:11" ht="15.75" customHeight="1" x14ac:dyDescent="0.25">
      <c r="A8" s="2" t="s">
        <v>44</v>
      </c>
      <c r="B8" s="3" t="s">
        <v>38</v>
      </c>
      <c r="C8" s="56">
        <v>0.69</v>
      </c>
      <c r="D8" s="57">
        <v>4800</v>
      </c>
      <c r="E8" s="57">
        <v>3312</v>
      </c>
      <c r="F8" s="58">
        <v>0.69</v>
      </c>
      <c r="G8" s="7">
        <v>0.2</v>
      </c>
      <c r="H8" s="7">
        <v>0.46</v>
      </c>
      <c r="I8" s="7">
        <v>0.16</v>
      </c>
      <c r="J8" s="22">
        <v>6.9</v>
      </c>
      <c r="K8" s="6" t="s">
        <v>29</v>
      </c>
    </row>
    <row r="9" spans="1:11" ht="15.75" customHeight="1" x14ac:dyDescent="0.25">
      <c r="A9" s="10" t="s">
        <v>47</v>
      </c>
      <c r="B9" s="11" t="s">
        <v>48</v>
      </c>
      <c r="C9" s="59">
        <v>0.51</v>
      </c>
      <c r="D9" s="60">
        <v>4500</v>
      </c>
      <c r="E9" s="60">
        <v>2295</v>
      </c>
      <c r="F9" s="61">
        <v>0.51</v>
      </c>
      <c r="G9" s="15">
        <v>0.16</v>
      </c>
      <c r="H9" s="15">
        <v>0.57999999999999996</v>
      </c>
      <c r="I9" s="15">
        <v>0.12</v>
      </c>
      <c r="J9" s="25">
        <v>5.0999999999999996</v>
      </c>
      <c r="K9" s="5" t="s">
        <v>28</v>
      </c>
    </row>
    <row r="10" spans="1:11" ht="15.75" customHeight="1" x14ac:dyDescent="0.25">
      <c r="A10" s="2" t="s">
        <v>50</v>
      </c>
      <c r="B10" s="3" t="s">
        <v>27</v>
      </c>
      <c r="C10" s="56">
        <v>0.73</v>
      </c>
      <c r="D10" s="57">
        <v>2800</v>
      </c>
      <c r="E10" s="57">
        <v>2044</v>
      </c>
      <c r="F10" s="58">
        <v>0.73</v>
      </c>
      <c r="G10" s="7">
        <v>0.26</v>
      </c>
      <c r="H10" s="7">
        <v>0.36</v>
      </c>
      <c r="I10" s="7">
        <v>0.24</v>
      </c>
      <c r="J10" s="22">
        <v>7.3</v>
      </c>
      <c r="K10" s="6" t="s">
        <v>29</v>
      </c>
    </row>
    <row r="11" spans="1:11" ht="15.75" customHeight="1" x14ac:dyDescent="0.25">
      <c r="A11" s="10" t="s">
        <v>52</v>
      </c>
      <c r="B11" s="11" t="s">
        <v>27</v>
      </c>
      <c r="C11" s="59">
        <v>0.62</v>
      </c>
      <c r="D11" s="60">
        <v>4200</v>
      </c>
      <c r="E11" s="60">
        <v>2604</v>
      </c>
      <c r="F11" s="61">
        <v>0.62</v>
      </c>
      <c r="G11" s="15">
        <v>0.18</v>
      </c>
      <c r="H11" s="15">
        <v>0.52</v>
      </c>
      <c r="I11" s="15">
        <v>0.14000000000000001</v>
      </c>
      <c r="J11" s="25">
        <v>6.2</v>
      </c>
      <c r="K11" s="5" t="s">
        <v>28</v>
      </c>
    </row>
    <row r="12" spans="1:11" ht="15.75" customHeight="1" x14ac:dyDescent="0.25">
      <c r="A12" s="2" t="s">
        <v>54</v>
      </c>
      <c r="B12" s="3" t="s">
        <v>32</v>
      </c>
      <c r="C12" s="56">
        <v>0.55000000000000004</v>
      </c>
      <c r="D12" s="57">
        <v>2800</v>
      </c>
      <c r="E12" s="57">
        <v>1540</v>
      </c>
      <c r="F12" s="58">
        <v>0.55000000000000004</v>
      </c>
      <c r="G12" s="7">
        <v>0.15</v>
      </c>
      <c r="H12" s="7">
        <v>0.56000000000000005</v>
      </c>
      <c r="I12" s="7">
        <v>0.11</v>
      </c>
      <c r="J12" s="22">
        <v>5.5</v>
      </c>
      <c r="K12" s="5" t="s">
        <v>28</v>
      </c>
    </row>
    <row r="13" spans="1:11" ht="15.75" customHeight="1" x14ac:dyDescent="0.25">
      <c r="A13" s="10" t="s">
        <v>56</v>
      </c>
      <c r="B13" s="11" t="s">
        <v>32</v>
      </c>
      <c r="C13" s="59">
        <v>0.47</v>
      </c>
      <c r="D13" s="60">
        <v>2400</v>
      </c>
      <c r="E13" s="60">
        <v>1128</v>
      </c>
      <c r="F13" s="61">
        <v>0.47</v>
      </c>
      <c r="G13" s="15">
        <v>0.12</v>
      </c>
      <c r="H13" s="15">
        <v>0.64</v>
      </c>
      <c r="I13" s="15">
        <v>0.08</v>
      </c>
      <c r="J13" s="25">
        <v>4.7</v>
      </c>
      <c r="K13" s="14" t="s">
        <v>34</v>
      </c>
    </row>
    <row r="14" spans="1:11" ht="15.75" customHeight="1" x14ac:dyDescent="0.25">
      <c r="A14" s="2" t="s">
        <v>58</v>
      </c>
      <c r="B14" s="3" t="s">
        <v>27</v>
      </c>
      <c r="C14" s="56">
        <v>0.76</v>
      </c>
      <c r="D14" s="57">
        <v>2200</v>
      </c>
      <c r="E14" s="57">
        <v>1672</v>
      </c>
      <c r="F14" s="58">
        <v>0.76</v>
      </c>
      <c r="G14" s="7">
        <v>0.24</v>
      </c>
      <c r="H14" s="7">
        <v>0.4</v>
      </c>
      <c r="I14" s="7">
        <v>0.2</v>
      </c>
      <c r="J14" s="22">
        <v>7.6</v>
      </c>
      <c r="K14" s="6" t="s">
        <v>29</v>
      </c>
    </row>
    <row r="15" spans="1:11" ht="15.75" customHeight="1" x14ac:dyDescent="0.25">
      <c r="A15" s="10" t="s">
        <v>60</v>
      </c>
      <c r="B15" s="11" t="s">
        <v>38</v>
      </c>
      <c r="C15" s="59">
        <v>0.79</v>
      </c>
      <c r="D15" s="60">
        <v>1800</v>
      </c>
      <c r="E15" s="60">
        <v>1422</v>
      </c>
      <c r="F15" s="61">
        <v>0.79</v>
      </c>
      <c r="G15" s="15">
        <v>0.3</v>
      </c>
      <c r="H15" s="15">
        <v>0.32</v>
      </c>
      <c r="I15" s="15">
        <v>0.26</v>
      </c>
      <c r="J15" s="25">
        <v>7.9</v>
      </c>
      <c r="K15" s="6" t="s">
        <v>29</v>
      </c>
    </row>
    <row r="16" spans="1:11" ht="15.75" customHeight="1" x14ac:dyDescent="0.25">
      <c r="A16" s="2" t="s">
        <v>8</v>
      </c>
      <c r="B16" s="3" t="s">
        <v>32</v>
      </c>
      <c r="C16" s="56">
        <v>0.84</v>
      </c>
      <c r="D16" s="57">
        <v>600</v>
      </c>
      <c r="E16" s="57">
        <v>504</v>
      </c>
      <c r="F16" s="58">
        <v>0.84</v>
      </c>
      <c r="G16" s="7">
        <v>0.38</v>
      </c>
      <c r="H16" s="7">
        <v>0.22</v>
      </c>
      <c r="I16" s="7">
        <v>0.32</v>
      </c>
      <c r="J16" s="22">
        <v>8.4</v>
      </c>
      <c r="K16" s="19" t="s">
        <v>62</v>
      </c>
    </row>
    <row r="17" spans="1:11" ht="15.75" customHeight="1" x14ac:dyDescent="0.25">
      <c r="A17" s="10" t="s">
        <v>64</v>
      </c>
      <c r="B17" s="11" t="s">
        <v>65</v>
      </c>
      <c r="C17" s="59">
        <v>0.67</v>
      </c>
      <c r="D17" s="60">
        <v>1400</v>
      </c>
      <c r="E17" s="60">
        <v>938</v>
      </c>
      <c r="F17" s="61">
        <v>0.67</v>
      </c>
      <c r="G17" s="15">
        <v>0.22</v>
      </c>
      <c r="H17" s="15">
        <v>0.44</v>
      </c>
      <c r="I17" s="15">
        <v>0.18</v>
      </c>
      <c r="J17" s="25">
        <v>6.7</v>
      </c>
      <c r="K17" s="6" t="s">
        <v>29</v>
      </c>
    </row>
    <row r="18" spans="1:11" ht="15.75" customHeight="1" x14ac:dyDescent="0.25">
      <c r="A18" s="2" t="s">
        <v>67</v>
      </c>
      <c r="B18" s="3" t="s">
        <v>65</v>
      </c>
      <c r="C18" s="56">
        <v>0.7</v>
      </c>
      <c r="D18" s="57">
        <v>1600</v>
      </c>
      <c r="E18" s="57">
        <v>1120</v>
      </c>
      <c r="F18" s="58">
        <v>0.7</v>
      </c>
      <c r="G18" s="7">
        <v>0.24</v>
      </c>
      <c r="H18" s="7">
        <v>0.42</v>
      </c>
      <c r="I18" s="7">
        <v>0.2</v>
      </c>
      <c r="J18" s="22">
        <v>7</v>
      </c>
      <c r="K18" s="6" t="s">
        <v>29</v>
      </c>
    </row>
    <row r="19" spans="1:11" ht="18" customHeight="1" x14ac:dyDescent="0.25">
      <c r="A19" s="62" t="s">
        <v>155</v>
      </c>
      <c r="B19" s="62"/>
      <c r="C19" s="63">
        <f>AVERAGE(C4:C18)</f>
        <v>0.65866666666666662</v>
      </c>
      <c r="D19" s="64">
        <f>SUM(D4:D18)</f>
        <v>60200</v>
      </c>
      <c r="E19" s="64">
        <f>SUM(E4:E18)</f>
        <v>37501</v>
      </c>
      <c r="F19" s="65">
        <f>AVERAGE(F4:F18)</f>
        <v>0.65866666666666662</v>
      </c>
      <c r="G19" s="63">
        <f>AVERAGE(G4:G18)</f>
        <v>0.22199999999999995</v>
      </c>
      <c r="H19" s="63">
        <f>AVERAGE(H4:H18)</f>
        <v>0.45466666666666666</v>
      </c>
      <c r="I19" s="63">
        <f>AVERAGE(I4:I18)</f>
        <v>0.18066666666666667</v>
      </c>
      <c r="J19" s="66">
        <f>AVERAGE(J4:J18)</f>
        <v>6.5866666666666678</v>
      </c>
      <c r="K19" s="62"/>
    </row>
  </sheetData>
  <mergeCells count="1">
    <mergeCell ref="A1:K1"/>
  </mergeCells>
  <conditionalFormatting sqref="C4:C18">
    <cfRule type="colorScale" priority="2">
      <colorScale>
        <cfvo type="min"/>
        <cfvo type="num" val="0.65"/>
        <cfvo type="max"/>
        <color rgb="FFF8696B"/>
        <color rgb="FFFFEB84"/>
        <color rgb="FF63BE7B"/>
      </colorScale>
    </cfRule>
  </conditionalFormatting>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19"/>
  <sheetViews>
    <sheetView topLeftCell="A4" workbookViewId="0">
      <selection activeCell="A3" sqref="A3"/>
    </sheetView>
  </sheetViews>
  <sheetFormatPr defaultRowHeight="15" x14ac:dyDescent="0.25"/>
  <cols>
    <col min="1" max="1" width="13.140625" bestFit="1" customWidth="1"/>
    <col min="2" max="2" width="24" bestFit="1" customWidth="1"/>
  </cols>
  <sheetData>
    <row r="3" spans="1:2" x14ac:dyDescent="0.25">
      <c r="A3" s="128" t="s">
        <v>292</v>
      </c>
      <c r="B3" t="s">
        <v>295</v>
      </c>
    </row>
    <row r="4" spans="1:2" x14ac:dyDescent="0.25">
      <c r="A4" s="129" t="s">
        <v>52</v>
      </c>
      <c r="B4" s="127">
        <v>4.9000000000000004</v>
      </c>
    </row>
    <row r="5" spans="1:2" x14ac:dyDescent="0.25">
      <c r="A5" s="129" t="s">
        <v>37</v>
      </c>
      <c r="B5" s="127">
        <v>3.4</v>
      </c>
    </row>
    <row r="6" spans="1:2" x14ac:dyDescent="0.25">
      <c r="A6" s="129" t="s">
        <v>64</v>
      </c>
      <c r="B6" s="127">
        <v>3.6</v>
      </c>
    </row>
    <row r="7" spans="1:2" x14ac:dyDescent="0.25">
      <c r="A7" s="129" t="s">
        <v>8</v>
      </c>
      <c r="B7" s="127">
        <v>2.9</v>
      </c>
    </row>
    <row r="8" spans="1:2" x14ac:dyDescent="0.25">
      <c r="A8" s="129" t="s">
        <v>44</v>
      </c>
      <c r="B8" s="127">
        <v>6.8</v>
      </c>
    </row>
    <row r="9" spans="1:2" x14ac:dyDescent="0.25">
      <c r="A9" s="129" t="s">
        <v>7</v>
      </c>
      <c r="B9" s="127">
        <v>5.8</v>
      </c>
    </row>
    <row r="10" spans="1:2" x14ac:dyDescent="0.25">
      <c r="A10" s="129" t="s">
        <v>42</v>
      </c>
      <c r="B10" s="127">
        <v>4.0999999999999996</v>
      </c>
    </row>
    <row r="11" spans="1:2" x14ac:dyDescent="0.25">
      <c r="A11" s="129" t="s">
        <v>54</v>
      </c>
      <c r="B11" s="127">
        <v>4.2</v>
      </c>
    </row>
    <row r="12" spans="1:2" x14ac:dyDescent="0.25">
      <c r="A12" s="129" t="s">
        <v>60</v>
      </c>
      <c r="B12" s="127">
        <v>7.8</v>
      </c>
    </row>
    <row r="13" spans="1:2" x14ac:dyDescent="0.25">
      <c r="A13" s="129" t="s">
        <v>47</v>
      </c>
      <c r="B13" s="127">
        <v>6.5</v>
      </c>
    </row>
    <row r="14" spans="1:2" x14ac:dyDescent="0.25">
      <c r="A14" s="129" t="s">
        <v>56</v>
      </c>
      <c r="B14" s="127">
        <v>4.4000000000000004</v>
      </c>
    </row>
    <row r="15" spans="1:2" x14ac:dyDescent="0.25">
      <c r="A15" s="129" t="s">
        <v>26</v>
      </c>
      <c r="B15" s="127">
        <v>7.2</v>
      </c>
    </row>
    <row r="16" spans="1:2" x14ac:dyDescent="0.25">
      <c r="A16" s="129" t="s">
        <v>67</v>
      </c>
      <c r="B16" s="127">
        <v>3.3</v>
      </c>
    </row>
    <row r="17" spans="1:2" x14ac:dyDescent="0.25">
      <c r="A17" s="129" t="s">
        <v>50</v>
      </c>
      <c r="B17" s="127">
        <v>3.8</v>
      </c>
    </row>
    <row r="18" spans="1:2" x14ac:dyDescent="0.25">
      <c r="A18" s="129" t="s">
        <v>58</v>
      </c>
      <c r="B18" s="127">
        <v>5.0999999999999996</v>
      </c>
    </row>
    <row r="19" spans="1:2" x14ac:dyDescent="0.25">
      <c r="A19" s="129" t="s">
        <v>293</v>
      </c>
      <c r="B19" s="127">
        <v>73.8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9"/>
  <sheetViews>
    <sheetView showGridLines="0" zoomScaleNormal="100" workbookViewId="0">
      <selection activeCell="C3" sqref="C3:D18"/>
    </sheetView>
  </sheetViews>
  <sheetFormatPr defaultColWidth="8.7109375" defaultRowHeight="15" x14ac:dyDescent="0.25"/>
  <cols>
    <col min="1" max="1" width="16" customWidth="1"/>
    <col min="2" max="2" width="10" customWidth="1"/>
    <col min="3" max="4" width="14" customWidth="1"/>
    <col min="5" max="5" width="12" customWidth="1"/>
    <col min="6" max="6" width="16" customWidth="1"/>
    <col min="7" max="8" width="14" customWidth="1"/>
    <col min="9" max="9" width="16" customWidth="1"/>
    <col min="10" max="10" width="12" customWidth="1"/>
    <col min="11" max="11" width="28.7109375" bestFit="1" customWidth="1"/>
  </cols>
  <sheetData>
    <row r="1" spans="1:11" ht="27.75" customHeight="1" x14ac:dyDescent="0.25">
      <c r="A1" s="173" t="s">
        <v>156</v>
      </c>
      <c r="B1" s="173"/>
      <c r="C1" s="173"/>
      <c r="D1" s="173"/>
      <c r="E1" s="173"/>
      <c r="F1" s="173"/>
      <c r="G1" s="173"/>
      <c r="H1" s="173"/>
      <c r="I1" s="173"/>
      <c r="J1" s="173"/>
      <c r="K1" s="173"/>
    </row>
    <row r="2" spans="1:11" ht="13.5" customHeight="1" x14ac:dyDescent="0.25">
      <c r="A2" s="174" t="s">
        <v>157</v>
      </c>
      <c r="B2" s="174"/>
      <c r="C2" s="174"/>
      <c r="D2" s="174"/>
      <c r="E2" s="174"/>
      <c r="F2" s="174"/>
      <c r="G2" s="174"/>
      <c r="H2" s="174"/>
      <c r="I2" s="174"/>
      <c r="J2" s="174"/>
      <c r="K2" s="174"/>
    </row>
    <row r="3" spans="1:11" ht="27.75" customHeight="1" x14ac:dyDescent="0.25">
      <c r="A3" s="67" t="s">
        <v>15</v>
      </c>
      <c r="B3" s="67" t="s">
        <v>16</v>
      </c>
      <c r="C3" s="67" t="s">
        <v>158</v>
      </c>
      <c r="D3" s="67" t="s">
        <v>159</v>
      </c>
      <c r="E3" s="67" t="s">
        <v>160</v>
      </c>
      <c r="F3" s="67" t="s">
        <v>161</v>
      </c>
      <c r="G3" s="67" t="s">
        <v>162</v>
      </c>
      <c r="H3" s="67" t="s">
        <v>163</v>
      </c>
      <c r="I3" s="67" t="s">
        <v>164</v>
      </c>
      <c r="J3" s="67" t="s">
        <v>165</v>
      </c>
      <c r="K3" s="67" t="s">
        <v>166</v>
      </c>
    </row>
    <row r="4" spans="1:11" ht="15.75" customHeight="1" x14ac:dyDescent="0.25">
      <c r="A4" s="68" t="s">
        <v>26</v>
      </c>
      <c r="B4" s="69" t="s">
        <v>27</v>
      </c>
      <c r="C4" s="70">
        <v>7.2</v>
      </c>
      <c r="D4" s="13" t="s">
        <v>35</v>
      </c>
      <c r="E4" s="71">
        <v>8.4</v>
      </c>
      <c r="F4" s="71">
        <v>3.2</v>
      </c>
      <c r="G4" s="71">
        <v>7.6</v>
      </c>
      <c r="H4" s="71">
        <v>6.8</v>
      </c>
      <c r="I4" s="71">
        <v>7.2</v>
      </c>
      <c r="J4" s="70">
        <v>2.8</v>
      </c>
      <c r="K4" s="69" t="s">
        <v>167</v>
      </c>
    </row>
    <row r="5" spans="1:11" ht="15.75" customHeight="1" x14ac:dyDescent="0.25">
      <c r="A5" s="10" t="s">
        <v>7</v>
      </c>
      <c r="B5" s="11" t="s">
        <v>32</v>
      </c>
      <c r="C5" s="25">
        <v>5.8</v>
      </c>
      <c r="D5" s="14" t="s">
        <v>30</v>
      </c>
      <c r="E5" s="16">
        <v>4.2</v>
      </c>
      <c r="F5" s="16">
        <v>5.8</v>
      </c>
      <c r="G5" s="16">
        <v>1.2</v>
      </c>
      <c r="H5" s="16">
        <v>9.4</v>
      </c>
      <c r="I5" s="16">
        <v>6.4</v>
      </c>
      <c r="J5" s="25">
        <v>4.2</v>
      </c>
      <c r="K5" s="11" t="s">
        <v>168</v>
      </c>
    </row>
    <row r="6" spans="1:11" ht="15.75" customHeight="1" x14ac:dyDescent="0.25">
      <c r="A6" s="68" t="s">
        <v>37</v>
      </c>
      <c r="B6" s="69" t="s">
        <v>38</v>
      </c>
      <c r="C6" s="70">
        <v>3.4</v>
      </c>
      <c r="D6" s="5" t="s">
        <v>28</v>
      </c>
      <c r="E6" s="71">
        <v>3.4</v>
      </c>
      <c r="F6" s="71">
        <v>3.6</v>
      </c>
      <c r="G6" s="71">
        <v>1.4</v>
      </c>
      <c r="H6" s="71">
        <v>4.8</v>
      </c>
      <c r="I6" s="71">
        <v>7.8</v>
      </c>
      <c r="J6" s="70">
        <v>6.6</v>
      </c>
      <c r="K6" s="69" t="s">
        <v>169</v>
      </c>
    </row>
    <row r="7" spans="1:11" ht="15.75" customHeight="1" x14ac:dyDescent="0.25">
      <c r="A7" s="10" t="s">
        <v>42</v>
      </c>
      <c r="B7" s="11" t="s">
        <v>38</v>
      </c>
      <c r="C7" s="25">
        <v>4.0999999999999996</v>
      </c>
      <c r="D7" s="5" t="s">
        <v>28</v>
      </c>
      <c r="E7" s="16">
        <v>4.8</v>
      </c>
      <c r="F7" s="16">
        <v>3.8</v>
      </c>
      <c r="G7" s="16">
        <v>3.2</v>
      </c>
      <c r="H7" s="16">
        <v>6.2</v>
      </c>
      <c r="I7" s="16">
        <v>7.2</v>
      </c>
      <c r="J7" s="25">
        <v>5.9</v>
      </c>
      <c r="K7" s="11" t="s">
        <v>170</v>
      </c>
    </row>
    <row r="8" spans="1:11" ht="15.75" customHeight="1" x14ac:dyDescent="0.25">
      <c r="A8" s="68" t="s">
        <v>44</v>
      </c>
      <c r="B8" s="69" t="s">
        <v>38</v>
      </c>
      <c r="C8" s="70">
        <v>6.8</v>
      </c>
      <c r="D8" s="14" t="s">
        <v>30</v>
      </c>
      <c r="E8" s="71">
        <v>7.2</v>
      </c>
      <c r="F8" s="71">
        <v>4.4000000000000004</v>
      </c>
      <c r="G8" s="71">
        <v>8.4</v>
      </c>
      <c r="H8" s="71">
        <v>7.6</v>
      </c>
      <c r="I8" s="71">
        <v>6.8</v>
      </c>
      <c r="J8" s="70">
        <v>3.2</v>
      </c>
      <c r="K8" s="69" t="s">
        <v>171</v>
      </c>
    </row>
    <row r="9" spans="1:11" ht="15.75" customHeight="1" x14ac:dyDescent="0.25">
      <c r="A9" s="10" t="s">
        <v>47</v>
      </c>
      <c r="B9" s="11" t="s">
        <v>48</v>
      </c>
      <c r="C9" s="25">
        <v>6.5</v>
      </c>
      <c r="D9" s="14" t="s">
        <v>30</v>
      </c>
      <c r="E9" s="16">
        <v>6.8</v>
      </c>
      <c r="F9" s="16">
        <v>3.6</v>
      </c>
      <c r="G9" s="16">
        <v>7.8</v>
      </c>
      <c r="H9" s="16">
        <v>6.4</v>
      </c>
      <c r="I9" s="16">
        <v>6.2</v>
      </c>
      <c r="J9" s="25">
        <v>3.5</v>
      </c>
      <c r="K9" s="11" t="s">
        <v>171</v>
      </c>
    </row>
    <row r="10" spans="1:11" ht="15.75" customHeight="1" x14ac:dyDescent="0.25">
      <c r="A10" s="68" t="s">
        <v>50</v>
      </c>
      <c r="B10" s="69" t="s">
        <v>27</v>
      </c>
      <c r="C10" s="70">
        <v>3.8</v>
      </c>
      <c r="D10" s="5" t="s">
        <v>28</v>
      </c>
      <c r="E10" s="71">
        <v>3.2</v>
      </c>
      <c r="F10" s="71">
        <v>4.2</v>
      </c>
      <c r="G10" s="71">
        <v>1.2</v>
      </c>
      <c r="H10" s="71">
        <v>4.4000000000000004</v>
      </c>
      <c r="I10" s="71">
        <v>7.4</v>
      </c>
      <c r="J10" s="70">
        <v>6.2</v>
      </c>
      <c r="K10" s="69" t="s">
        <v>172</v>
      </c>
    </row>
    <row r="11" spans="1:11" ht="15.75" customHeight="1" x14ac:dyDescent="0.25">
      <c r="A11" s="10" t="s">
        <v>52</v>
      </c>
      <c r="B11" s="11" t="s">
        <v>27</v>
      </c>
      <c r="C11" s="25">
        <v>4.9000000000000004</v>
      </c>
      <c r="D11" s="5" t="s">
        <v>28</v>
      </c>
      <c r="E11" s="16">
        <v>3.8</v>
      </c>
      <c r="F11" s="16">
        <v>7.2</v>
      </c>
      <c r="G11" s="16">
        <v>2.4</v>
      </c>
      <c r="H11" s="16">
        <v>8.8000000000000007</v>
      </c>
      <c r="I11" s="16">
        <v>6.6</v>
      </c>
      <c r="J11" s="25">
        <v>5.0999999999999996</v>
      </c>
      <c r="K11" s="11" t="s">
        <v>173</v>
      </c>
    </row>
    <row r="12" spans="1:11" ht="15.75" customHeight="1" x14ac:dyDescent="0.25">
      <c r="A12" s="68" t="s">
        <v>54</v>
      </c>
      <c r="B12" s="69" t="s">
        <v>32</v>
      </c>
      <c r="C12" s="70">
        <v>4.2</v>
      </c>
      <c r="D12" s="5" t="s">
        <v>28</v>
      </c>
      <c r="E12" s="71">
        <v>2.4</v>
      </c>
      <c r="F12" s="71">
        <v>4.8</v>
      </c>
      <c r="G12" s="71">
        <v>1.2</v>
      </c>
      <c r="H12" s="71">
        <v>8.4</v>
      </c>
      <c r="I12" s="71">
        <v>6.4</v>
      </c>
      <c r="J12" s="70">
        <v>5.8</v>
      </c>
      <c r="K12" s="69" t="s">
        <v>174</v>
      </c>
    </row>
    <row r="13" spans="1:11" ht="15.75" customHeight="1" x14ac:dyDescent="0.25">
      <c r="A13" s="10" t="s">
        <v>56</v>
      </c>
      <c r="B13" s="11" t="s">
        <v>32</v>
      </c>
      <c r="C13" s="25">
        <v>4.4000000000000004</v>
      </c>
      <c r="D13" s="5" t="s">
        <v>28</v>
      </c>
      <c r="E13" s="16">
        <v>4.5999999999999996</v>
      </c>
      <c r="F13" s="16">
        <v>4.2</v>
      </c>
      <c r="G13" s="16">
        <v>1.2</v>
      </c>
      <c r="H13" s="16">
        <v>7.8</v>
      </c>
      <c r="I13" s="16">
        <v>6.2</v>
      </c>
      <c r="J13" s="25">
        <v>5.6</v>
      </c>
      <c r="K13" s="11" t="s">
        <v>170</v>
      </c>
    </row>
    <row r="14" spans="1:11" ht="15.75" customHeight="1" x14ac:dyDescent="0.25">
      <c r="A14" s="68" t="s">
        <v>58</v>
      </c>
      <c r="B14" s="69" t="s">
        <v>27</v>
      </c>
      <c r="C14" s="70">
        <v>5.0999999999999996</v>
      </c>
      <c r="D14" s="14" t="s">
        <v>30</v>
      </c>
      <c r="E14" s="71">
        <v>5.8</v>
      </c>
      <c r="F14" s="71">
        <v>4.4000000000000004</v>
      </c>
      <c r="G14" s="71">
        <v>5.6</v>
      </c>
      <c r="H14" s="71">
        <v>7.2</v>
      </c>
      <c r="I14" s="71">
        <v>6.8</v>
      </c>
      <c r="J14" s="70">
        <v>4.9000000000000004</v>
      </c>
      <c r="K14" s="69" t="s">
        <v>167</v>
      </c>
    </row>
    <row r="15" spans="1:11" ht="15.75" customHeight="1" x14ac:dyDescent="0.25">
      <c r="A15" s="10" t="s">
        <v>60</v>
      </c>
      <c r="B15" s="11" t="s">
        <v>38</v>
      </c>
      <c r="C15" s="25">
        <v>7.8</v>
      </c>
      <c r="D15" s="13" t="s">
        <v>35</v>
      </c>
      <c r="E15" s="16">
        <v>7.6</v>
      </c>
      <c r="F15" s="16">
        <v>3.2</v>
      </c>
      <c r="G15" s="16">
        <v>6.4</v>
      </c>
      <c r="H15" s="16">
        <v>5.8</v>
      </c>
      <c r="I15" s="16">
        <v>7.6</v>
      </c>
      <c r="J15" s="25">
        <v>2.2000000000000002</v>
      </c>
      <c r="K15" s="11" t="s">
        <v>167</v>
      </c>
    </row>
    <row r="16" spans="1:11" ht="15.75" customHeight="1" x14ac:dyDescent="0.25">
      <c r="A16" s="68" t="s">
        <v>8</v>
      </c>
      <c r="B16" s="69" t="s">
        <v>32</v>
      </c>
      <c r="C16" s="70">
        <v>2.9</v>
      </c>
      <c r="D16" s="19" t="s">
        <v>175</v>
      </c>
      <c r="E16" s="71">
        <v>2.4</v>
      </c>
      <c r="F16" s="71">
        <v>3.8</v>
      </c>
      <c r="G16" s="71">
        <v>1.2</v>
      </c>
      <c r="H16" s="71">
        <v>5.4</v>
      </c>
      <c r="I16" s="71">
        <v>8.6</v>
      </c>
      <c r="J16" s="70">
        <v>7.1</v>
      </c>
      <c r="K16" s="69" t="s">
        <v>176</v>
      </c>
    </row>
    <row r="17" spans="1:11" ht="15.75" customHeight="1" x14ac:dyDescent="0.25">
      <c r="A17" s="10" t="s">
        <v>64</v>
      </c>
      <c r="B17" s="11" t="s">
        <v>65</v>
      </c>
      <c r="C17" s="25">
        <v>3.6</v>
      </c>
      <c r="D17" s="5" t="s">
        <v>28</v>
      </c>
      <c r="E17" s="16">
        <v>2.8</v>
      </c>
      <c r="F17" s="16">
        <v>3.2</v>
      </c>
      <c r="G17" s="16">
        <v>1.2</v>
      </c>
      <c r="H17" s="16">
        <v>6.4</v>
      </c>
      <c r="I17" s="16">
        <v>7.2</v>
      </c>
      <c r="J17" s="25">
        <v>6.4</v>
      </c>
      <c r="K17" s="11" t="s">
        <v>177</v>
      </c>
    </row>
    <row r="18" spans="1:11" ht="15.75" customHeight="1" x14ac:dyDescent="0.25">
      <c r="A18" s="68" t="s">
        <v>67</v>
      </c>
      <c r="B18" s="69" t="s">
        <v>65</v>
      </c>
      <c r="C18" s="70">
        <v>3.3</v>
      </c>
      <c r="D18" s="5" t="s">
        <v>28</v>
      </c>
      <c r="E18" s="71">
        <v>2.4</v>
      </c>
      <c r="F18" s="71">
        <v>3.4</v>
      </c>
      <c r="G18" s="71">
        <v>1.2</v>
      </c>
      <c r="H18" s="71">
        <v>7.6</v>
      </c>
      <c r="I18" s="71">
        <v>7.6</v>
      </c>
      <c r="J18" s="70">
        <v>6.7</v>
      </c>
      <c r="K18" s="69" t="s">
        <v>174</v>
      </c>
    </row>
    <row r="19" spans="1:11" ht="18" customHeight="1" x14ac:dyDescent="0.25">
      <c r="A19" s="72" t="s">
        <v>94</v>
      </c>
      <c r="B19" s="72"/>
      <c r="C19" s="73">
        <f>AVERAGE(C4:C18)</f>
        <v>4.919999999999999</v>
      </c>
      <c r="D19" s="72"/>
      <c r="E19" s="73">
        <f t="shared" ref="E19:J19" si="0">AVERAGE(E4:E18)</f>
        <v>4.6533333333333333</v>
      </c>
      <c r="F19" s="73">
        <f t="shared" si="0"/>
        <v>4.1866666666666665</v>
      </c>
      <c r="G19" s="73">
        <f t="shared" si="0"/>
        <v>3.413333333333334</v>
      </c>
      <c r="H19" s="73">
        <f t="shared" si="0"/>
        <v>6.8666666666666663</v>
      </c>
      <c r="I19" s="73">
        <f t="shared" si="0"/>
        <v>7.0666666666666655</v>
      </c>
      <c r="J19" s="73">
        <f t="shared" si="0"/>
        <v>5.08</v>
      </c>
      <c r="K19" s="72"/>
    </row>
  </sheetData>
  <mergeCells count="2">
    <mergeCell ref="A1:K1"/>
    <mergeCell ref="A2:K2"/>
  </mergeCells>
  <conditionalFormatting sqref="C4:C18">
    <cfRule type="colorScale" priority="2">
      <colorScale>
        <cfvo type="min"/>
        <cfvo type="num" val="5"/>
        <cfvo type="max"/>
        <color rgb="FF63BE7B"/>
        <color rgb="FFFFEB84"/>
        <color rgb="FFF8696B"/>
      </colorScale>
    </cfRule>
  </conditionalFormatting>
  <pageMargins left="0.75" right="0.75" top="1" bottom="1"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9"/>
  <sheetViews>
    <sheetView showGridLines="0" topLeftCell="A4" zoomScale="85" zoomScaleNormal="85" workbookViewId="0">
      <selection activeCell="T21" sqref="T21"/>
    </sheetView>
  </sheetViews>
  <sheetFormatPr defaultColWidth="8.7109375" defaultRowHeight="15" x14ac:dyDescent="0.25"/>
  <cols>
    <col min="1" max="1" width="8" customWidth="1"/>
    <col min="2" max="2" width="16" customWidth="1"/>
    <col min="3" max="3" width="10" customWidth="1"/>
    <col min="4" max="8" width="12" customWidth="1"/>
    <col min="9" max="9" width="14" customWidth="1"/>
    <col min="10" max="10" width="8" customWidth="1"/>
    <col min="11" max="12" width="30" customWidth="1"/>
    <col min="13" max="13" width="5" customWidth="1"/>
  </cols>
  <sheetData>
    <row r="1" spans="1:13" ht="49.5" customHeight="1" x14ac:dyDescent="0.25">
      <c r="A1" s="177" t="s">
        <v>178</v>
      </c>
      <c r="B1" s="177"/>
      <c r="C1" s="177"/>
      <c r="D1" s="177"/>
      <c r="E1" s="177"/>
      <c r="F1" s="177"/>
      <c r="G1" s="177"/>
      <c r="H1" s="177"/>
      <c r="I1" s="177"/>
      <c r="J1" s="177"/>
      <c r="K1" s="177"/>
      <c r="L1" s="177"/>
      <c r="M1" s="177"/>
    </row>
    <row r="2" spans="1:13" ht="4.5" customHeight="1" x14ac:dyDescent="0.25">
      <c r="A2" s="177"/>
      <c r="B2" s="177"/>
      <c r="C2" s="177"/>
      <c r="D2" s="177"/>
      <c r="E2" s="177"/>
      <c r="F2" s="177"/>
      <c r="G2" s="177"/>
      <c r="H2" s="177"/>
      <c r="I2" s="177"/>
      <c r="J2" s="177"/>
      <c r="K2" s="177"/>
      <c r="L2" s="177"/>
      <c r="M2" s="177"/>
    </row>
    <row r="3" spans="1:13" ht="4.5" customHeight="1" x14ac:dyDescent="0.25">
      <c r="A3" s="177"/>
      <c r="B3" s="177"/>
      <c r="C3" s="177"/>
      <c r="D3" s="177"/>
      <c r="E3" s="177"/>
      <c r="F3" s="177"/>
      <c r="G3" s="177"/>
      <c r="H3" s="177"/>
      <c r="I3" s="177"/>
      <c r="J3" s="177"/>
      <c r="K3" s="177"/>
      <c r="L3" s="177"/>
      <c r="M3" s="177"/>
    </row>
    <row r="4" spans="1:13" ht="36" customHeight="1" x14ac:dyDescent="0.25">
      <c r="A4" s="178" t="s">
        <v>179</v>
      </c>
      <c r="B4" s="178"/>
      <c r="C4" s="178"/>
      <c r="D4" s="178"/>
      <c r="E4" s="178"/>
      <c r="F4" s="178"/>
      <c r="G4" s="178"/>
      <c r="H4" s="178"/>
      <c r="I4" s="178"/>
      <c r="J4" s="178"/>
      <c r="K4" s="178"/>
      <c r="L4" s="178"/>
      <c r="M4" s="178"/>
    </row>
    <row r="5" spans="1:13" ht="15.75" customHeight="1" x14ac:dyDescent="0.25">
      <c r="A5" s="179" t="s">
        <v>180</v>
      </c>
      <c r="B5" s="179"/>
      <c r="C5" s="179"/>
      <c r="D5" s="179"/>
      <c r="E5" s="179"/>
      <c r="F5" s="179"/>
      <c r="G5" s="179"/>
      <c r="H5" s="179"/>
      <c r="I5" s="179"/>
      <c r="J5" s="179"/>
      <c r="K5" s="179"/>
      <c r="L5" s="179"/>
      <c r="M5" s="179"/>
    </row>
    <row r="6" spans="1:13" ht="36" customHeight="1" x14ac:dyDescent="0.25">
      <c r="A6" s="74" t="s">
        <v>181</v>
      </c>
      <c r="B6" s="74" t="s">
        <v>15</v>
      </c>
      <c r="C6" s="74" t="s">
        <v>16</v>
      </c>
      <c r="D6" s="74" t="s">
        <v>182</v>
      </c>
      <c r="E6" s="74" t="s">
        <v>183</v>
      </c>
      <c r="F6" s="74" t="s">
        <v>184</v>
      </c>
      <c r="G6" s="74" t="s">
        <v>185</v>
      </c>
      <c r="H6" s="74" t="s">
        <v>186</v>
      </c>
      <c r="I6" s="74" t="s">
        <v>187</v>
      </c>
      <c r="J6" s="74" t="s">
        <v>188</v>
      </c>
      <c r="K6" s="74" t="s">
        <v>189</v>
      </c>
      <c r="L6" s="74" t="s">
        <v>190</v>
      </c>
    </row>
    <row r="7" spans="1:13" ht="36" customHeight="1" x14ac:dyDescent="0.25">
      <c r="A7" s="75" t="s">
        <v>191</v>
      </c>
      <c r="B7" s="76" t="s">
        <v>8</v>
      </c>
      <c r="C7" s="77" t="s">
        <v>32</v>
      </c>
      <c r="D7" s="78">
        <v>8.6</v>
      </c>
      <c r="E7" s="78">
        <v>8.1999999999999993</v>
      </c>
      <c r="F7" s="78">
        <v>8.4</v>
      </c>
      <c r="G7" s="78">
        <v>8.4</v>
      </c>
      <c r="H7" s="78">
        <v>7.1</v>
      </c>
      <c r="I7" s="79">
        <v>8.15</v>
      </c>
      <c r="J7" s="62" t="s">
        <v>192</v>
      </c>
      <c r="K7" s="80" t="s">
        <v>193</v>
      </c>
      <c r="L7" s="80" t="s">
        <v>194</v>
      </c>
    </row>
    <row r="8" spans="1:13" ht="36" customHeight="1" x14ac:dyDescent="0.25">
      <c r="A8" s="81" t="s">
        <v>195</v>
      </c>
      <c r="B8" s="82" t="s">
        <v>37</v>
      </c>
      <c r="C8" s="83" t="s">
        <v>38</v>
      </c>
      <c r="D8" s="84">
        <v>8.1999999999999993</v>
      </c>
      <c r="E8" s="84">
        <v>7.1</v>
      </c>
      <c r="F8" s="84">
        <v>7</v>
      </c>
      <c r="G8" s="84">
        <v>7.4</v>
      </c>
      <c r="H8" s="84">
        <v>6.6</v>
      </c>
      <c r="I8" s="85">
        <v>7.32</v>
      </c>
      <c r="J8" s="86" t="s">
        <v>196</v>
      </c>
      <c r="K8" s="87" t="s">
        <v>197</v>
      </c>
      <c r="L8" s="87" t="s">
        <v>198</v>
      </c>
    </row>
    <row r="9" spans="1:13" ht="36" customHeight="1" x14ac:dyDescent="0.25">
      <c r="A9" s="88" t="s">
        <v>199</v>
      </c>
      <c r="B9" s="89" t="s">
        <v>67</v>
      </c>
      <c r="C9" s="90" t="s">
        <v>65</v>
      </c>
      <c r="D9" s="91">
        <v>7.7</v>
      </c>
      <c r="E9" s="91">
        <v>6.7</v>
      </c>
      <c r="F9" s="91">
        <v>7.2</v>
      </c>
      <c r="G9" s="91">
        <v>7</v>
      </c>
      <c r="H9" s="91">
        <v>6.7</v>
      </c>
      <c r="I9" s="92">
        <v>7.09</v>
      </c>
      <c r="J9" s="86" t="s">
        <v>196</v>
      </c>
      <c r="K9" s="93" t="s">
        <v>200</v>
      </c>
      <c r="L9" s="93" t="s">
        <v>201</v>
      </c>
    </row>
    <row r="10" spans="1:13" ht="36" customHeight="1" x14ac:dyDescent="0.25">
      <c r="A10" s="94" t="s">
        <v>202</v>
      </c>
      <c r="B10" s="95" t="s">
        <v>50</v>
      </c>
      <c r="C10" s="96" t="s">
        <v>27</v>
      </c>
      <c r="D10" s="97">
        <v>8</v>
      </c>
      <c r="E10" s="97">
        <v>6.9</v>
      </c>
      <c r="F10" s="97">
        <v>6.6</v>
      </c>
      <c r="G10" s="97">
        <v>7.3</v>
      </c>
      <c r="H10" s="97">
        <v>6.2</v>
      </c>
      <c r="I10" s="98">
        <v>7.07</v>
      </c>
      <c r="J10" s="86" t="s">
        <v>196</v>
      </c>
      <c r="K10" s="99" t="s">
        <v>203</v>
      </c>
      <c r="L10" s="99" t="s">
        <v>204</v>
      </c>
    </row>
    <row r="11" spans="1:13" ht="36" customHeight="1" x14ac:dyDescent="0.25">
      <c r="A11" s="94" t="s">
        <v>205</v>
      </c>
      <c r="B11" s="95" t="s">
        <v>60</v>
      </c>
      <c r="C11" s="96" t="s">
        <v>38</v>
      </c>
      <c r="D11" s="97">
        <v>8.5</v>
      </c>
      <c r="E11" s="97">
        <v>7.8</v>
      </c>
      <c r="F11" s="97">
        <v>7.8</v>
      </c>
      <c r="G11" s="97">
        <v>7.9</v>
      </c>
      <c r="H11" s="97">
        <v>2.2000000000000002</v>
      </c>
      <c r="I11" s="98">
        <v>6.88</v>
      </c>
      <c r="J11" s="41" t="s">
        <v>206</v>
      </c>
      <c r="K11" s="99" t="s">
        <v>207</v>
      </c>
      <c r="L11" s="99" t="s">
        <v>208</v>
      </c>
    </row>
    <row r="12" spans="1:13" ht="36" customHeight="1" x14ac:dyDescent="0.25">
      <c r="A12" s="21" t="s">
        <v>209</v>
      </c>
      <c r="B12" s="2" t="s">
        <v>64</v>
      </c>
      <c r="C12" s="3" t="s">
        <v>65</v>
      </c>
      <c r="D12" s="8">
        <v>7.6</v>
      </c>
      <c r="E12" s="8">
        <v>6.5</v>
      </c>
      <c r="F12" s="8">
        <v>6.8</v>
      </c>
      <c r="G12" s="8">
        <v>6.7</v>
      </c>
      <c r="H12" s="8">
        <v>6.4</v>
      </c>
      <c r="I12" s="100">
        <v>6.84</v>
      </c>
      <c r="J12" s="41" t="s">
        <v>206</v>
      </c>
      <c r="K12" s="101" t="s">
        <v>210</v>
      </c>
      <c r="L12" s="101" t="s">
        <v>211</v>
      </c>
    </row>
    <row r="13" spans="1:13" ht="36" customHeight="1" x14ac:dyDescent="0.25">
      <c r="A13" s="21" t="s">
        <v>212</v>
      </c>
      <c r="B13" s="2" t="s">
        <v>42</v>
      </c>
      <c r="C13" s="3" t="s">
        <v>38</v>
      </c>
      <c r="D13" s="8">
        <v>7.8</v>
      </c>
      <c r="E13" s="8">
        <v>6.6</v>
      </c>
      <c r="F13" s="8">
        <v>6.4</v>
      </c>
      <c r="G13" s="8">
        <v>7.1</v>
      </c>
      <c r="H13" s="8">
        <v>5.9</v>
      </c>
      <c r="I13" s="100">
        <v>6.83</v>
      </c>
      <c r="J13" s="41" t="s">
        <v>206</v>
      </c>
      <c r="K13" s="101" t="s">
        <v>213</v>
      </c>
      <c r="L13" s="101" t="s">
        <v>214</v>
      </c>
    </row>
    <row r="14" spans="1:13" ht="36" customHeight="1" x14ac:dyDescent="0.25">
      <c r="A14" s="21" t="s">
        <v>215</v>
      </c>
      <c r="B14" s="2" t="s">
        <v>58</v>
      </c>
      <c r="C14" s="3" t="s">
        <v>27</v>
      </c>
      <c r="D14" s="8">
        <v>7.3</v>
      </c>
      <c r="E14" s="8">
        <v>6.1</v>
      </c>
      <c r="F14" s="8">
        <v>6.2</v>
      </c>
      <c r="G14" s="8">
        <v>7.6</v>
      </c>
      <c r="H14" s="8">
        <v>4.9000000000000004</v>
      </c>
      <c r="I14" s="100">
        <v>6.47</v>
      </c>
      <c r="J14" s="41" t="s">
        <v>206</v>
      </c>
      <c r="K14" s="101" t="s">
        <v>216</v>
      </c>
      <c r="L14" s="101" t="s">
        <v>217</v>
      </c>
    </row>
    <row r="15" spans="1:13" ht="36" customHeight="1" x14ac:dyDescent="0.25">
      <c r="A15" s="102" t="s">
        <v>218</v>
      </c>
      <c r="B15" s="103" t="s">
        <v>44</v>
      </c>
      <c r="C15" s="104" t="s">
        <v>38</v>
      </c>
      <c r="D15" s="105">
        <v>8</v>
      </c>
      <c r="E15" s="105">
        <v>5.8</v>
      </c>
      <c r="F15" s="105">
        <v>6</v>
      </c>
      <c r="G15" s="105">
        <v>6.9</v>
      </c>
      <c r="H15" s="105">
        <v>3.2</v>
      </c>
      <c r="I15" s="106">
        <v>6.08</v>
      </c>
      <c r="J15" s="41" t="s">
        <v>206</v>
      </c>
      <c r="K15" s="107" t="s">
        <v>219</v>
      </c>
      <c r="L15" s="107" t="s">
        <v>220</v>
      </c>
    </row>
    <row r="16" spans="1:13" ht="36" customHeight="1" x14ac:dyDescent="0.25">
      <c r="A16" s="102" t="s">
        <v>221</v>
      </c>
      <c r="B16" s="103" t="s">
        <v>26</v>
      </c>
      <c r="C16" s="104" t="s">
        <v>27</v>
      </c>
      <c r="D16" s="105">
        <v>7</v>
      </c>
      <c r="E16" s="105">
        <v>6.2</v>
      </c>
      <c r="F16" s="105">
        <v>5.6</v>
      </c>
      <c r="G16" s="105">
        <v>6.8</v>
      </c>
      <c r="H16" s="105">
        <v>2.8</v>
      </c>
      <c r="I16" s="106">
        <v>5.75</v>
      </c>
      <c r="J16" s="52" t="s">
        <v>222</v>
      </c>
      <c r="K16" s="107" t="s">
        <v>223</v>
      </c>
      <c r="L16" s="107" t="s">
        <v>224</v>
      </c>
    </row>
    <row r="17" spans="1:13" ht="36" customHeight="1" x14ac:dyDescent="0.25">
      <c r="A17" s="108" t="s">
        <v>225</v>
      </c>
      <c r="B17" s="46" t="s">
        <v>52</v>
      </c>
      <c r="C17" s="47" t="s">
        <v>27</v>
      </c>
      <c r="D17" s="49">
        <v>6.4</v>
      </c>
      <c r="E17" s="49">
        <v>5.2</v>
      </c>
      <c r="F17" s="49">
        <v>5.2</v>
      </c>
      <c r="G17" s="49">
        <v>6.2</v>
      </c>
      <c r="H17" s="49">
        <v>5.0999999999999996</v>
      </c>
      <c r="I17" s="109">
        <v>5.68</v>
      </c>
      <c r="J17" s="52" t="s">
        <v>222</v>
      </c>
      <c r="K17" s="110" t="s">
        <v>226</v>
      </c>
      <c r="L17" s="110" t="s">
        <v>227</v>
      </c>
    </row>
    <row r="18" spans="1:13" ht="36" customHeight="1" x14ac:dyDescent="0.25">
      <c r="A18" s="108" t="s">
        <v>228</v>
      </c>
      <c r="B18" s="46" t="s">
        <v>54</v>
      </c>
      <c r="C18" s="47" t="s">
        <v>32</v>
      </c>
      <c r="D18" s="49">
        <v>6.1</v>
      </c>
      <c r="E18" s="49">
        <v>4.8</v>
      </c>
      <c r="F18" s="49">
        <v>4.8</v>
      </c>
      <c r="G18" s="49">
        <v>5.5</v>
      </c>
      <c r="H18" s="49">
        <v>5.8</v>
      </c>
      <c r="I18" s="109">
        <v>5.46</v>
      </c>
      <c r="J18" s="52" t="s">
        <v>222</v>
      </c>
      <c r="K18" s="110" t="s">
        <v>229</v>
      </c>
      <c r="L18" s="110" t="s">
        <v>230</v>
      </c>
    </row>
    <row r="19" spans="1:13" ht="36" customHeight="1" x14ac:dyDescent="0.25">
      <c r="A19" s="108" t="s">
        <v>231</v>
      </c>
      <c r="B19" s="46" t="s">
        <v>47</v>
      </c>
      <c r="C19" s="47" t="s">
        <v>48</v>
      </c>
      <c r="D19" s="49">
        <v>6</v>
      </c>
      <c r="E19" s="49">
        <v>4.4000000000000004</v>
      </c>
      <c r="F19" s="49">
        <v>4.4000000000000004</v>
      </c>
      <c r="G19" s="49">
        <v>5.0999999999999996</v>
      </c>
      <c r="H19" s="49">
        <v>3.5</v>
      </c>
      <c r="I19" s="109">
        <v>4.76</v>
      </c>
      <c r="J19" s="52" t="s">
        <v>222</v>
      </c>
      <c r="K19" s="110" t="s">
        <v>232</v>
      </c>
      <c r="L19" s="110" t="s">
        <v>233</v>
      </c>
    </row>
    <row r="20" spans="1:13" ht="36" customHeight="1" x14ac:dyDescent="0.25">
      <c r="A20" s="111" t="s">
        <v>234</v>
      </c>
      <c r="B20" s="68" t="s">
        <v>56</v>
      </c>
      <c r="C20" s="69" t="s">
        <v>32</v>
      </c>
      <c r="D20" s="71">
        <v>5</v>
      </c>
      <c r="E20" s="71">
        <v>4.0999999999999996</v>
      </c>
      <c r="F20" s="71">
        <v>4</v>
      </c>
      <c r="G20" s="71">
        <v>4.7</v>
      </c>
      <c r="H20" s="71">
        <v>5.6</v>
      </c>
      <c r="I20" s="112">
        <v>4.7300000000000004</v>
      </c>
      <c r="J20" s="52" t="s">
        <v>222</v>
      </c>
      <c r="K20" s="113" t="s">
        <v>235</v>
      </c>
      <c r="L20" s="113" t="s">
        <v>236</v>
      </c>
    </row>
    <row r="21" spans="1:13" ht="36" customHeight="1" x14ac:dyDescent="0.25">
      <c r="A21" s="111" t="s">
        <v>237</v>
      </c>
      <c r="B21" s="68" t="s">
        <v>7</v>
      </c>
      <c r="C21" s="69" t="s">
        <v>32</v>
      </c>
      <c r="D21" s="71">
        <v>3.8</v>
      </c>
      <c r="E21" s="71">
        <v>3.8</v>
      </c>
      <c r="F21" s="71">
        <v>3</v>
      </c>
      <c r="G21" s="71">
        <v>4.2</v>
      </c>
      <c r="H21" s="71">
        <v>4.2</v>
      </c>
      <c r="I21" s="112">
        <v>3.84</v>
      </c>
      <c r="J21" s="52" t="s">
        <v>222</v>
      </c>
      <c r="K21" s="113" t="s">
        <v>238</v>
      </c>
      <c r="L21" s="113" t="s">
        <v>239</v>
      </c>
    </row>
    <row r="23" spans="1:13" ht="24" customHeight="1" x14ac:dyDescent="0.25">
      <c r="A23" s="180" t="s">
        <v>240</v>
      </c>
      <c r="B23" s="180"/>
      <c r="C23" s="180"/>
      <c r="D23" s="180"/>
      <c r="E23" s="180"/>
      <c r="F23" s="180"/>
      <c r="G23" s="180"/>
      <c r="H23" s="180"/>
      <c r="I23" s="180"/>
      <c r="J23" s="180"/>
      <c r="K23" s="180"/>
      <c r="L23" s="180"/>
      <c r="M23" s="180"/>
    </row>
    <row r="24" spans="1:13" ht="27.75" customHeight="1" x14ac:dyDescent="0.25">
      <c r="A24" s="175" t="s">
        <v>241</v>
      </c>
      <c r="B24" s="175"/>
      <c r="C24" s="175"/>
      <c r="D24" s="176" t="s">
        <v>242</v>
      </c>
      <c r="E24" s="176"/>
      <c r="F24" s="176"/>
      <c r="G24" s="176"/>
      <c r="H24" s="176"/>
      <c r="I24" s="176"/>
      <c r="J24" s="176"/>
      <c r="K24" s="176"/>
      <c r="L24" s="176"/>
      <c r="M24" s="176"/>
    </row>
    <row r="25" spans="1:13" ht="27.75" customHeight="1" x14ac:dyDescent="0.25">
      <c r="A25" s="175" t="s">
        <v>243</v>
      </c>
      <c r="B25" s="175"/>
      <c r="C25" s="175"/>
      <c r="D25" s="176" t="s">
        <v>244</v>
      </c>
      <c r="E25" s="176"/>
      <c r="F25" s="176"/>
      <c r="G25" s="176"/>
      <c r="H25" s="176"/>
      <c r="I25" s="176"/>
      <c r="J25" s="176"/>
      <c r="K25" s="176"/>
      <c r="L25" s="176"/>
      <c r="M25" s="176"/>
    </row>
    <row r="26" spans="1:13" ht="27.75" customHeight="1" x14ac:dyDescent="0.25">
      <c r="A26" s="175" t="s">
        <v>245</v>
      </c>
      <c r="B26" s="175"/>
      <c r="C26" s="175"/>
      <c r="D26" s="176" t="s">
        <v>246</v>
      </c>
      <c r="E26" s="176"/>
      <c r="F26" s="176"/>
      <c r="G26" s="176"/>
      <c r="H26" s="176"/>
      <c r="I26" s="176"/>
      <c r="J26" s="176"/>
      <c r="K26" s="176"/>
      <c r="L26" s="176"/>
      <c r="M26" s="176"/>
    </row>
    <row r="27" spans="1:13" ht="27.75" customHeight="1" x14ac:dyDescent="0.25">
      <c r="A27" s="175" t="s">
        <v>247</v>
      </c>
      <c r="B27" s="175"/>
      <c r="C27" s="175"/>
      <c r="D27" s="176" t="s">
        <v>248</v>
      </c>
      <c r="E27" s="176"/>
      <c r="F27" s="176"/>
      <c r="G27" s="176"/>
      <c r="H27" s="176"/>
      <c r="I27" s="176"/>
      <c r="J27" s="176"/>
      <c r="K27" s="176"/>
      <c r="L27" s="176"/>
      <c r="M27" s="176"/>
    </row>
    <row r="28" spans="1:13" ht="27.75" customHeight="1" x14ac:dyDescent="0.25">
      <c r="A28" s="175" t="s">
        <v>249</v>
      </c>
      <c r="B28" s="175"/>
      <c r="C28" s="175"/>
      <c r="D28" s="176" t="s">
        <v>250</v>
      </c>
      <c r="E28" s="176"/>
      <c r="F28" s="176"/>
      <c r="G28" s="176"/>
      <c r="H28" s="176"/>
      <c r="I28" s="176"/>
      <c r="J28" s="176"/>
      <c r="K28" s="176"/>
      <c r="L28" s="176"/>
      <c r="M28" s="176"/>
    </row>
    <row r="29" spans="1:13" ht="27.75" customHeight="1" x14ac:dyDescent="0.25">
      <c r="A29" s="175" t="s">
        <v>251</v>
      </c>
      <c r="B29" s="175"/>
      <c r="C29" s="175"/>
      <c r="D29" s="176" t="s">
        <v>252</v>
      </c>
      <c r="E29" s="176"/>
      <c r="F29" s="176"/>
      <c r="G29" s="176"/>
      <c r="H29" s="176"/>
      <c r="I29" s="176"/>
      <c r="J29" s="176"/>
      <c r="K29" s="176"/>
      <c r="L29" s="176"/>
      <c r="M29" s="176"/>
    </row>
  </sheetData>
  <mergeCells count="16">
    <mergeCell ref="A1:M3"/>
    <mergeCell ref="A4:M4"/>
    <mergeCell ref="A5:M5"/>
    <mergeCell ref="A23:M23"/>
    <mergeCell ref="A24:C24"/>
    <mergeCell ref="D24:M24"/>
    <mergeCell ref="A28:C28"/>
    <mergeCell ref="D28:M28"/>
    <mergeCell ref="A29:C29"/>
    <mergeCell ref="D29:M29"/>
    <mergeCell ref="A25:C25"/>
    <mergeCell ref="D25:M25"/>
    <mergeCell ref="A26:C26"/>
    <mergeCell ref="D26:M26"/>
    <mergeCell ref="A27:C27"/>
    <mergeCell ref="D27:M27"/>
  </mergeCells>
  <conditionalFormatting sqref="I7:I21">
    <cfRule type="colorScale" priority="2">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3"/>
  <sheetViews>
    <sheetView showGridLines="0" zoomScale="85" zoomScaleNormal="85" workbookViewId="0">
      <selection sqref="A1:H1"/>
    </sheetView>
  </sheetViews>
  <sheetFormatPr defaultColWidth="8.7109375" defaultRowHeight="15" x14ac:dyDescent="0.25"/>
  <cols>
    <col min="1" max="1" width="24" customWidth="1"/>
    <col min="2" max="16" width="12" customWidth="1"/>
  </cols>
  <sheetData>
    <row r="1" spans="1:16" ht="27.75" customHeight="1" x14ac:dyDescent="0.25">
      <c r="A1" s="181" t="s">
        <v>253</v>
      </c>
      <c r="B1" s="181"/>
      <c r="C1" s="181"/>
      <c r="D1" s="181"/>
      <c r="E1" s="181"/>
      <c r="F1" s="181"/>
      <c r="G1" s="181"/>
      <c r="H1" s="181"/>
    </row>
    <row r="2" spans="1:16" ht="27.75" customHeight="1" x14ac:dyDescent="0.25">
      <c r="A2" s="114" t="s">
        <v>254</v>
      </c>
      <c r="B2" s="115" t="s">
        <v>26</v>
      </c>
      <c r="C2" s="115" t="s">
        <v>7</v>
      </c>
      <c r="D2" s="115" t="s">
        <v>37</v>
      </c>
      <c r="E2" s="115" t="s">
        <v>42</v>
      </c>
      <c r="F2" s="115" t="s">
        <v>44</v>
      </c>
      <c r="G2" s="115" t="s">
        <v>47</v>
      </c>
      <c r="H2" s="115" t="s">
        <v>50</v>
      </c>
      <c r="I2" s="115" t="s">
        <v>52</v>
      </c>
      <c r="J2" s="115" t="s">
        <v>54</v>
      </c>
      <c r="K2" s="115" t="s">
        <v>56</v>
      </c>
      <c r="L2" s="115" t="s">
        <v>58</v>
      </c>
      <c r="M2" s="115" t="s">
        <v>60</v>
      </c>
      <c r="N2" s="115" t="s">
        <v>8</v>
      </c>
      <c r="O2" s="115" t="s">
        <v>64</v>
      </c>
      <c r="P2" s="115" t="s">
        <v>67</v>
      </c>
    </row>
    <row r="3" spans="1:16" ht="18" customHeight="1" x14ac:dyDescent="0.25">
      <c r="A3" s="116" t="s">
        <v>255</v>
      </c>
      <c r="B3" s="37">
        <v>148</v>
      </c>
      <c r="C3" s="37">
        <v>312</v>
      </c>
      <c r="D3" s="37">
        <v>89</v>
      </c>
      <c r="E3" s="37">
        <v>112</v>
      </c>
      <c r="F3" s="37">
        <v>98</v>
      </c>
      <c r="G3" s="37">
        <v>201</v>
      </c>
      <c r="H3" s="37">
        <v>102</v>
      </c>
      <c r="I3" s="37">
        <v>178</v>
      </c>
      <c r="J3" s="37">
        <v>195</v>
      </c>
      <c r="K3" s="37">
        <v>248</v>
      </c>
      <c r="L3" s="37">
        <v>134</v>
      </c>
      <c r="M3" s="37">
        <v>75</v>
      </c>
      <c r="N3" s="37">
        <v>68</v>
      </c>
      <c r="O3" s="37">
        <v>121</v>
      </c>
      <c r="P3" s="37">
        <v>115</v>
      </c>
    </row>
    <row r="4" spans="1:16" ht="18" customHeight="1" x14ac:dyDescent="0.25">
      <c r="A4" s="117" t="s">
        <v>256</v>
      </c>
      <c r="B4" s="40">
        <v>62</v>
      </c>
      <c r="C4" s="40">
        <v>38</v>
      </c>
      <c r="D4" s="40">
        <v>71</v>
      </c>
      <c r="E4" s="40">
        <v>66</v>
      </c>
      <c r="F4" s="40">
        <v>58</v>
      </c>
      <c r="G4" s="40">
        <v>44</v>
      </c>
      <c r="H4" s="40">
        <v>69</v>
      </c>
      <c r="I4" s="40">
        <v>52</v>
      </c>
      <c r="J4" s="40">
        <v>48</v>
      </c>
      <c r="K4" s="40">
        <v>41</v>
      </c>
      <c r="L4" s="40">
        <v>61</v>
      </c>
      <c r="M4" s="40">
        <v>78</v>
      </c>
      <c r="N4" s="40">
        <v>82</v>
      </c>
      <c r="O4" s="40">
        <v>65</v>
      </c>
      <c r="P4" s="40">
        <v>67</v>
      </c>
    </row>
    <row r="5" spans="1:16" ht="18" customHeight="1" x14ac:dyDescent="0.25">
      <c r="A5" s="116" t="s">
        <v>257</v>
      </c>
      <c r="B5" s="37">
        <v>72</v>
      </c>
      <c r="C5" s="37">
        <v>85</v>
      </c>
      <c r="D5" s="37">
        <v>65</v>
      </c>
      <c r="E5" s="37">
        <v>68</v>
      </c>
      <c r="F5" s="37">
        <v>70</v>
      </c>
      <c r="G5" s="37">
        <v>78</v>
      </c>
      <c r="H5" s="37">
        <v>67</v>
      </c>
      <c r="I5" s="37">
        <v>74</v>
      </c>
      <c r="J5" s="37">
        <v>76</v>
      </c>
      <c r="K5" s="37">
        <v>80</v>
      </c>
      <c r="L5" s="37">
        <v>69</v>
      </c>
      <c r="M5" s="37">
        <v>61</v>
      </c>
      <c r="N5" s="37">
        <v>58</v>
      </c>
      <c r="O5" s="37">
        <v>66</v>
      </c>
      <c r="P5" s="37">
        <v>64</v>
      </c>
    </row>
    <row r="6" spans="1:16" ht="18" customHeight="1" x14ac:dyDescent="0.25">
      <c r="A6" s="117" t="s">
        <v>258</v>
      </c>
      <c r="B6" s="40">
        <v>68</v>
      </c>
      <c r="C6" s="40">
        <v>42</v>
      </c>
      <c r="D6" s="40">
        <v>74</v>
      </c>
      <c r="E6" s="40">
        <v>71</v>
      </c>
      <c r="F6" s="40">
        <v>69</v>
      </c>
      <c r="G6" s="40">
        <v>51</v>
      </c>
      <c r="H6" s="40">
        <v>73</v>
      </c>
      <c r="I6" s="40">
        <v>62</v>
      </c>
      <c r="J6" s="40">
        <v>55</v>
      </c>
      <c r="K6" s="40">
        <v>47</v>
      </c>
      <c r="L6" s="40">
        <v>76</v>
      </c>
      <c r="M6" s="40">
        <v>79</v>
      </c>
      <c r="N6" s="40">
        <v>84</v>
      </c>
      <c r="O6" s="40">
        <v>67</v>
      </c>
      <c r="P6" s="40">
        <v>70</v>
      </c>
    </row>
    <row r="7" spans="1:16" ht="18" customHeight="1" x14ac:dyDescent="0.25">
      <c r="A7" s="116" t="s">
        <v>259</v>
      </c>
      <c r="B7" s="36">
        <v>7.2</v>
      </c>
      <c r="C7" s="36">
        <v>5.8</v>
      </c>
      <c r="D7" s="36">
        <v>3.4</v>
      </c>
      <c r="E7" s="36">
        <v>4.0999999999999996</v>
      </c>
      <c r="F7" s="36">
        <v>6.8</v>
      </c>
      <c r="G7" s="36">
        <v>6.5</v>
      </c>
      <c r="H7" s="36">
        <v>3.8</v>
      </c>
      <c r="I7" s="36">
        <v>4.9000000000000004</v>
      </c>
      <c r="J7" s="36">
        <v>4.2</v>
      </c>
      <c r="K7" s="36">
        <v>4.4000000000000004</v>
      </c>
      <c r="L7" s="36">
        <v>5.0999999999999996</v>
      </c>
      <c r="M7" s="36">
        <v>7.8</v>
      </c>
      <c r="N7" s="36">
        <v>2.9</v>
      </c>
      <c r="O7" s="36">
        <v>3.6</v>
      </c>
      <c r="P7" s="36">
        <v>3.3</v>
      </c>
    </row>
    <row r="8" spans="1:16" ht="18" customHeight="1" x14ac:dyDescent="0.25">
      <c r="A8" s="117" t="s">
        <v>78</v>
      </c>
      <c r="B8" s="16">
        <v>7</v>
      </c>
      <c r="C8" s="16">
        <v>3.8</v>
      </c>
      <c r="D8" s="16">
        <v>8.1999999999999993</v>
      </c>
      <c r="E8" s="16">
        <v>7.8</v>
      </c>
      <c r="F8" s="16">
        <v>8</v>
      </c>
      <c r="G8" s="16">
        <v>6</v>
      </c>
      <c r="H8" s="16">
        <v>8</v>
      </c>
      <c r="I8" s="16">
        <v>6.4</v>
      </c>
      <c r="J8" s="16">
        <v>6.1</v>
      </c>
      <c r="K8" s="16">
        <v>5</v>
      </c>
      <c r="L8" s="16">
        <v>7.3</v>
      </c>
      <c r="M8" s="16">
        <v>8.5</v>
      </c>
      <c r="N8" s="16">
        <v>8.6</v>
      </c>
      <c r="O8" s="16">
        <v>7.6</v>
      </c>
      <c r="P8" s="16">
        <v>7.7</v>
      </c>
    </row>
    <row r="9" spans="1:16" ht="18" customHeight="1" x14ac:dyDescent="0.25">
      <c r="A9" s="116" t="s">
        <v>103</v>
      </c>
      <c r="B9" s="36">
        <v>6.2</v>
      </c>
      <c r="C9" s="36">
        <v>3.8</v>
      </c>
      <c r="D9" s="36">
        <v>7.1</v>
      </c>
      <c r="E9" s="36">
        <v>6.6</v>
      </c>
      <c r="F9" s="36">
        <v>5.8</v>
      </c>
      <c r="G9" s="36">
        <v>4.4000000000000004</v>
      </c>
      <c r="H9" s="36">
        <v>6.9</v>
      </c>
      <c r="I9" s="36">
        <v>5.2</v>
      </c>
      <c r="J9" s="36">
        <v>4.8</v>
      </c>
      <c r="K9" s="36">
        <v>4.0999999999999996</v>
      </c>
      <c r="L9" s="36">
        <v>6.1</v>
      </c>
      <c r="M9" s="36">
        <v>7.8</v>
      </c>
      <c r="N9" s="36">
        <v>8.1999999999999993</v>
      </c>
      <c r="O9" s="36">
        <v>6.5</v>
      </c>
      <c r="P9" s="36">
        <v>6.7</v>
      </c>
    </row>
    <row r="10" spans="1:16" ht="18" customHeight="1" x14ac:dyDescent="0.25">
      <c r="A10" s="117" t="s">
        <v>128</v>
      </c>
      <c r="B10" s="16">
        <v>5.6</v>
      </c>
      <c r="C10" s="16">
        <v>3</v>
      </c>
      <c r="D10" s="16">
        <v>7</v>
      </c>
      <c r="E10" s="16">
        <v>6.4</v>
      </c>
      <c r="F10" s="16">
        <v>6</v>
      </c>
      <c r="G10" s="16">
        <v>4.4000000000000004</v>
      </c>
      <c r="H10" s="16">
        <v>6.6</v>
      </c>
      <c r="I10" s="16">
        <v>5.2</v>
      </c>
      <c r="J10" s="16">
        <v>4.8</v>
      </c>
      <c r="K10" s="16">
        <v>4</v>
      </c>
      <c r="L10" s="16">
        <v>6.2</v>
      </c>
      <c r="M10" s="16">
        <v>7.8</v>
      </c>
      <c r="N10" s="16">
        <v>8.4</v>
      </c>
      <c r="O10" s="16">
        <v>6.8</v>
      </c>
      <c r="P10" s="16">
        <v>7.2</v>
      </c>
    </row>
    <row r="11" spans="1:16" ht="18" customHeight="1" x14ac:dyDescent="0.25">
      <c r="A11" s="116" t="s">
        <v>153</v>
      </c>
      <c r="B11" s="36">
        <v>6.8</v>
      </c>
      <c r="C11" s="36">
        <v>4.2</v>
      </c>
      <c r="D11" s="36">
        <v>7.4</v>
      </c>
      <c r="E11" s="36">
        <v>7.1</v>
      </c>
      <c r="F11" s="36">
        <v>6.9</v>
      </c>
      <c r="G11" s="36">
        <v>5.0999999999999996</v>
      </c>
      <c r="H11" s="36">
        <v>7.3</v>
      </c>
      <c r="I11" s="36">
        <v>6.2</v>
      </c>
      <c r="J11" s="36">
        <v>5.5</v>
      </c>
      <c r="K11" s="36">
        <v>4.7</v>
      </c>
      <c r="L11" s="36">
        <v>7.6</v>
      </c>
      <c r="M11" s="36">
        <v>7.9</v>
      </c>
      <c r="N11" s="36">
        <v>8.4</v>
      </c>
      <c r="O11" s="36">
        <v>6.7</v>
      </c>
      <c r="P11" s="36">
        <v>7</v>
      </c>
    </row>
    <row r="12" spans="1:16" ht="18" customHeight="1" x14ac:dyDescent="0.25">
      <c r="A12" s="117" t="s">
        <v>165</v>
      </c>
      <c r="B12" s="16">
        <v>2.8</v>
      </c>
      <c r="C12" s="16">
        <v>4.2</v>
      </c>
      <c r="D12" s="16">
        <v>6.6</v>
      </c>
      <c r="E12" s="16">
        <v>5.9</v>
      </c>
      <c r="F12" s="16">
        <v>3.2</v>
      </c>
      <c r="G12" s="16">
        <v>3.5</v>
      </c>
      <c r="H12" s="16">
        <v>6.2</v>
      </c>
      <c r="I12" s="16">
        <v>5.0999999999999996</v>
      </c>
      <c r="J12" s="16">
        <v>5.8</v>
      </c>
      <c r="K12" s="16">
        <v>5.6</v>
      </c>
      <c r="L12" s="16">
        <v>4.9000000000000004</v>
      </c>
      <c r="M12" s="16">
        <v>2.2000000000000002</v>
      </c>
      <c r="N12" s="16">
        <v>7.1</v>
      </c>
      <c r="O12" s="16">
        <v>6.4</v>
      </c>
      <c r="P12" s="16">
        <v>6.7</v>
      </c>
    </row>
    <row r="13" spans="1:16" ht="18" customHeight="1" x14ac:dyDescent="0.25">
      <c r="A13" s="118" t="s">
        <v>260</v>
      </c>
      <c r="B13" s="119">
        <v>5.75</v>
      </c>
      <c r="C13" s="119">
        <v>3.84</v>
      </c>
      <c r="D13" s="119">
        <v>7.32</v>
      </c>
      <c r="E13" s="119">
        <v>6.83</v>
      </c>
      <c r="F13" s="119">
        <v>6.08</v>
      </c>
      <c r="G13" s="119">
        <v>4.76</v>
      </c>
      <c r="H13" s="119">
        <v>7.07</v>
      </c>
      <c r="I13" s="119">
        <v>5.68</v>
      </c>
      <c r="J13" s="119">
        <v>5.46</v>
      </c>
      <c r="K13" s="119">
        <v>4.7300000000000004</v>
      </c>
      <c r="L13" s="119">
        <v>6.47</v>
      </c>
      <c r="M13" s="119">
        <v>6.88</v>
      </c>
      <c r="N13" s="119">
        <v>8.15</v>
      </c>
      <c r="O13" s="119">
        <v>6.84</v>
      </c>
      <c r="P13" s="119">
        <v>7.09</v>
      </c>
    </row>
  </sheetData>
  <mergeCells count="1">
    <mergeCell ref="A1:H1"/>
  </mergeCells>
  <conditionalFormatting sqref="B3:P3">
    <cfRule type="colorScale" priority="2">
      <colorScale>
        <cfvo type="min"/>
        <cfvo type="percentile" val="50"/>
        <cfvo type="max"/>
        <color rgb="FF63BE7B"/>
        <color rgb="FFFFEB84"/>
        <color rgb="FFF8696B"/>
      </colorScale>
    </cfRule>
  </conditionalFormatting>
  <conditionalFormatting sqref="B4:P4">
    <cfRule type="colorScale" priority="3">
      <colorScale>
        <cfvo type="min"/>
        <cfvo type="percentile" val="50"/>
        <cfvo type="max"/>
        <color rgb="FFF8696B"/>
        <color rgb="FFFFEB84"/>
        <color rgb="FF63BE7B"/>
      </colorScale>
    </cfRule>
  </conditionalFormatting>
  <conditionalFormatting sqref="B5:P5">
    <cfRule type="colorScale" priority="4">
      <colorScale>
        <cfvo type="min"/>
        <cfvo type="percentile" val="50"/>
        <cfvo type="max"/>
        <color rgb="FF63BE7B"/>
        <color rgb="FFFFEB84"/>
        <color rgb="FFF8696B"/>
      </colorScale>
    </cfRule>
  </conditionalFormatting>
  <conditionalFormatting sqref="B6:P6">
    <cfRule type="colorScale" priority="5">
      <colorScale>
        <cfvo type="min"/>
        <cfvo type="percentile" val="50"/>
        <cfvo type="max"/>
        <color rgb="FFF8696B"/>
        <color rgb="FFFFEB84"/>
        <color rgb="FF63BE7B"/>
      </colorScale>
    </cfRule>
  </conditionalFormatting>
  <conditionalFormatting sqref="B7:P7">
    <cfRule type="colorScale" priority="6">
      <colorScale>
        <cfvo type="min"/>
        <cfvo type="percentile" val="50"/>
        <cfvo type="max"/>
        <color rgb="FF63BE7B"/>
        <color rgb="FFFFEB84"/>
        <color rgb="FFF8696B"/>
      </colorScale>
    </cfRule>
  </conditionalFormatting>
  <conditionalFormatting sqref="B8:P8">
    <cfRule type="colorScale" priority="7">
      <colorScale>
        <cfvo type="min"/>
        <cfvo type="percentile" val="50"/>
        <cfvo type="max"/>
        <color rgb="FFF8696B"/>
        <color rgb="FFFFEB84"/>
        <color rgb="FF63BE7B"/>
      </colorScale>
    </cfRule>
  </conditionalFormatting>
  <conditionalFormatting sqref="B9:P9">
    <cfRule type="colorScale" priority="8">
      <colorScale>
        <cfvo type="min"/>
        <cfvo type="percentile" val="50"/>
        <cfvo type="max"/>
        <color rgb="FFF8696B"/>
        <color rgb="FFFFEB84"/>
        <color rgb="FF63BE7B"/>
      </colorScale>
    </cfRule>
  </conditionalFormatting>
  <conditionalFormatting sqref="B10:P10">
    <cfRule type="colorScale" priority="9">
      <colorScale>
        <cfvo type="min"/>
        <cfvo type="percentile" val="50"/>
        <cfvo type="max"/>
        <color rgb="FFF8696B"/>
        <color rgb="FFFFEB84"/>
        <color rgb="FF63BE7B"/>
      </colorScale>
    </cfRule>
  </conditionalFormatting>
  <conditionalFormatting sqref="B11:P11">
    <cfRule type="colorScale" priority="10">
      <colorScale>
        <cfvo type="min"/>
        <cfvo type="percentile" val="50"/>
        <cfvo type="max"/>
        <color rgb="FFF8696B"/>
        <color rgb="FFFFEB84"/>
        <color rgb="FF63BE7B"/>
      </colorScale>
    </cfRule>
  </conditionalFormatting>
  <conditionalFormatting sqref="B12:P12">
    <cfRule type="colorScale" priority="11">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B19"/>
  <sheetViews>
    <sheetView workbookViewId="0">
      <selection activeCell="O12" sqref="O12"/>
    </sheetView>
  </sheetViews>
  <sheetFormatPr defaultRowHeight="15" x14ac:dyDescent="0.25"/>
  <cols>
    <col min="1" max="1" width="13.140625" bestFit="1" customWidth="1"/>
    <col min="2" max="2" width="16.85546875" bestFit="1" customWidth="1"/>
  </cols>
  <sheetData>
    <row r="3" spans="1:2" x14ac:dyDescent="0.25">
      <c r="A3" s="128" t="s">
        <v>292</v>
      </c>
      <c r="B3" t="s">
        <v>294</v>
      </c>
    </row>
    <row r="4" spans="1:2" x14ac:dyDescent="0.25">
      <c r="A4" s="129" t="s">
        <v>52</v>
      </c>
      <c r="B4" s="127">
        <v>178</v>
      </c>
    </row>
    <row r="5" spans="1:2" x14ac:dyDescent="0.25">
      <c r="A5" s="129" t="s">
        <v>37</v>
      </c>
      <c r="B5" s="127">
        <v>89</v>
      </c>
    </row>
    <row r="6" spans="1:2" x14ac:dyDescent="0.25">
      <c r="A6" s="129" t="s">
        <v>64</v>
      </c>
      <c r="B6" s="127">
        <v>121</v>
      </c>
    </row>
    <row r="7" spans="1:2" x14ac:dyDescent="0.25">
      <c r="A7" s="129" t="s">
        <v>8</v>
      </c>
      <c r="B7" s="127">
        <v>68</v>
      </c>
    </row>
    <row r="8" spans="1:2" x14ac:dyDescent="0.25">
      <c r="A8" s="129" t="s">
        <v>44</v>
      </c>
      <c r="B8" s="127">
        <v>98</v>
      </c>
    </row>
    <row r="9" spans="1:2" x14ac:dyDescent="0.25">
      <c r="A9" s="129" t="s">
        <v>7</v>
      </c>
      <c r="B9" s="127">
        <v>312</v>
      </c>
    </row>
    <row r="10" spans="1:2" x14ac:dyDescent="0.25">
      <c r="A10" s="129" t="s">
        <v>42</v>
      </c>
      <c r="B10" s="127">
        <v>112</v>
      </c>
    </row>
    <row r="11" spans="1:2" x14ac:dyDescent="0.25">
      <c r="A11" s="129" t="s">
        <v>54</v>
      </c>
      <c r="B11" s="127">
        <v>195</v>
      </c>
    </row>
    <row r="12" spans="1:2" x14ac:dyDescent="0.25">
      <c r="A12" s="129" t="s">
        <v>60</v>
      </c>
      <c r="B12" s="127">
        <v>75</v>
      </c>
    </row>
    <row r="13" spans="1:2" x14ac:dyDescent="0.25">
      <c r="A13" s="129" t="s">
        <v>47</v>
      </c>
      <c r="B13" s="127">
        <v>201</v>
      </c>
    </row>
    <row r="14" spans="1:2" x14ac:dyDescent="0.25">
      <c r="A14" s="129" t="s">
        <v>56</v>
      </c>
      <c r="B14" s="127">
        <v>248</v>
      </c>
    </row>
    <row r="15" spans="1:2" x14ac:dyDescent="0.25">
      <c r="A15" s="129" t="s">
        <v>26</v>
      </c>
      <c r="B15" s="127">
        <v>148</v>
      </c>
    </row>
    <row r="16" spans="1:2" x14ac:dyDescent="0.25">
      <c r="A16" s="129" t="s">
        <v>67</v>
      </c>
      <c r="B16" s="127">
        <v>115</v>
      </c>
    </row>
    <row r="17" spans="1:2" x14ac:dyDescent="0.25">
      <c r="A17" s="129" t="s">
        <v>50</v>
      </c>
      <c r="B17" s="127">
        <v>102</v>
      </c>
    </row>
    <row r="18" spans="1:2" x14ac:dyDescent="0.25">
      <c r="A18" s="129" t="s">
        <v>58</v>
      </c>
      <c r="B18" s="127">
        <v>134</v>
      </c>
    </row>
    <row r="19" spans="1:2" x14ac:dyDescent="0.25">
      <c r="A19" s="129" t="s">
        <v>293</v>
      </c>
      <c r="B19" s="127">
        <v>2196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8776E-8663-46DA-973B-B622ABC650FC}">
  <dimension ref="A3:B19"/>
  <sheetViews>
    <sheetView topLeftCell="A4" workbookViewId="0">
      <selection activeCell="N19" sqref="N19"/>
    </sheetView>
  </sheetViews>
  <sheetFormatPr defaultRowHeight="15" x14ac:dyDescent="0.25"/>
  <cols>
    <col min="1" max="1" width="13.140625" bestFit="1" customWidth="1"/>
    <col min="2" max="2" width="16.85546875" bestFit="1" customWidth="1"/>
  </cols>
  <sheetData>
    <row r="3" spans="1:2" x14ac:dyDescent="0.25">
      <c r="A3" s="128" t="s">
        <v>292</v>
      </c>
      <c r="B3" t="s">
        <v>294</v>
      </c>
    </row>
    <row r="4" spans="1:2" x14ac:dyDescent="0.25">
      <c r="A4" s="129" t="s">
        <v>52</v>
      </c>
      <c r="B4" s="127">
        <v>178</v>
      </c>
    </row>
    <row r="5" spans="1:2" x14ac:dyDescent="0.25">
      <c r="A5" s="129" t="s">
        <v>37</v>
      </c>
      <c r="B5" s="127">
        <v>89</v>
      </c>
    </row>
    <row r="6" spans="1:2" x14ac:dyDescent="0.25">
      <c r="A6" s="129" t="s">
        <v>64</v>
      </c>
      <c r="B6" s="127">
        <v>121</v>
      </c>
    </row>
    <row r="7" spans="1:2" x14ac:dyDescent="0.25">
      <c r="A7" s="129" t="s">
        <v>8</v>
      </c>
      <c r="B7" s="127">
        <v>68</v>
      </c>
    </row>
    <row r="8" spans="1:2" x14ac:dyDescent="0.25">
      <c r="A8" s="129" t="s">
        <v>44</v>
      </c>
      <c r="B8" s="127">
        <v>98</v>
      </c>
    </row>
    <row r="9" spans="1:2" x14ac:dyDescent="0.25">
      <c r="A9" s="129" t="s">
        <v>7</v>
      </c>
      <c r="B9" s="127">
        <v>312</v>
      </c>
    </row>
    <row r="10" spans="1:2" x14ac:dyDescent="0.25">
      <c r="A10" s="129" t="s">
        <v>42</v>
      </c>
      <c r="B10" s="127">
        <v>112</v>
      </c>
    </row>
    <row r="11" spans="1:2" x14ac:dyDescent="0.25">
      <c r="A11" s="129" t="s">
        <v>54</v>
      </c>
      <c r="B11" s="127">
        <v>195</v>
      </c>
    </row>
    <row r="12" spans="1:2" x14ac:dyDescent="0.25">
      <c r="A12" s="129" t="s">
        <v>60</v>
      </c>
      <c r="B12" s="127">
        <v>75</v>
      </c>
    </row>
    <row r="13" spans="1:2" x14ac:dyDescent="0.25">
      <c r="A13" s="129" t="s">
        <v>47</v>
      </c>
      <c r="B13" s="127">
        <v>201</v>
      </c>
    </row>
    <row r="14" spans="1:2" x14ac:dyDescent="0.25">
      <c r="A14" s="129" t="s">
        <v>56</v>
      </c>
      <c r="B14" s="127">
        <v>248</v>
      </c>
    </row>
    <row r="15" spans="1:2" x14ac:dyDescent="0.25">
      <c r="A15" s="129" t="s">
        <v>26</v>
      </c>
      <c r="B15" s="127">
        <v>148</v>
      </c>
    </row>
    <row r="16" spans="1:2" x14ac:dyDescent="0.25">
      <c r="A16" s="129" t="s">
        <v>67</v>
      </c>
      <c r="B16" s="127">
        <v>115</v>
      </c>
    </row>
    <row r="17" spans="1:2" x14ac:dyDescent="0.25">
      <c r="A17" s="129" t="s">
        <v>50</v>
      </c>
      <c r="B17" s="127">
        <v>102</v>
      </c>
    </row>
    <row r="18" spans="1:2" x14ac:dyDescent="0.25">
      <c r="A18" s="129" t="s">
        <v>58</v>
      </c>
      <c r="B18" s="127">
        <v>134</v>
      </c>
    </row>
    <row r="19" spans="1:2" x14ac:dyDescent="0.25">
      <c r="A19" s="129" t="s">
        <v>293</v>
      </c>
      <c r="B19" s="127">
        <v>2196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D1C06-717D-4063-95E7-05B14C0E1AEE}">
  <dimension ref="A3:B19"/>
  <sheetViews>
    <sheetView topLeftCell="A4" workbookViewId="0">
      <selection activeCell="F23" sqref="F23:F27"/>
    </sheetView>
  </sheetViews>
  <sheetFormatPr defaultRowHeight="15" x14ac:dyDescent="0.25"/>
  <cols>
    <col min="1" max="1" width="13.140625" bestFit="1" customWidth="1"/>
    <col min="2" max="2" width="18.42578125" bestFit="1" customWidth="1"/>
  </cols>
  <sheetData>
    <row r="3" spans="1:2" x14ac:dyDescent="0.25">
      <c r="A3" s="128" t="s">
        <v>292</v>
      </c>
      <c r="B3" t="s">
        <v>296</v>
      </c>
    </row>
    <row r="4" spans="1:2" x14ac:dyDescent="0.25">
      <c r="A4" s="129" t="s">
        <v>52</v>
      </c>
      <c r="B4" s="127">
        <v>52</v>
      </c>
    </row>
    <row r="5" spans="1:2" x14ac:dyDescent="0.25">
      <c r="A5" s="129" t="s">
        <v>37</v>
      </c>
      <c r="B5" s="127">
        <v>71</v>
      </c>
    </row>
    <row r="6" spans="1:2" x14ac:dyDescent="0.25">
      <c r="A6" s="129" t="s">
        <v>64</v>
      </c>
      <c r="B6" s="127">
        <v>65</v>
      </c>
    </row>
    <row r="7" spans="1:2" x14ac:dyDescent="0.25">
      <c r="A7" s="129" t="s">
        <v>8</v>
      </c>
      <c r="B7" s="127">
        <v>82</v>
      </c>
    </row>
    <row r="8" spans="1:2" x14ac:dyDescent="0.25">
      <c r="A8" s="129" t="s">
        <v>44</v>
      </c>
      <c r="B8" s="127">
        <v>58</v>
      </c>
    </row>
    <row r="9" spans="1:2" x14ac:dyDescent="0.25">
      <c r="A9" s="129" t="s">
        <v>7</v>
      </c>
      <c r="B9" s="127">
        <v>38</v>
      </c>
    </row>
    <row r="10" spans="1:2" x14ac:dyDescent="0.25">
      <c r="A10" s="129" t="s">
        <v>42</v>
      </c>
      <c r="B10" s="127">
        <v>66</v>
      </c>
    </row>
    <row r="11" spans="1:2" x14ac:dyDescent="0.25">
      <c r="A11" s="129" t="s">
        <v>54</v>
      </c>
      <c r="B11" s="127">
        <v>48</v>
      </c>
    </row>
    <row r="12" spans="1:2" x14ac:dyDescent="0.25">
      <c r="A12" s="129" t="s">
        <v>60</v>
      </c>
      <c r="B12" s="127">
        <v>78</v>
      </c>
    </row>
    <row r="13" spans="1:2" x14ac:dyDescent="0.25">
      <c r="A13" s="129" t="s">
        <v>47</v>
      </c>
      <c r="B13" s="127">
        <v>44</v>
      </c>
    </row>
    <row r="14" spans="1:2" x14ac:dyDescent="0.25">
      <c r="A14" s="129" t="s">
        <v>56</v>
      </c>
      <c r="B14" s="127">
        <v>41</v>
      </c>
    </row>
    <row r="15" spans="1:2" x14ac:dyDescent="0.25">
      <c r="A15" s="129" t="s">
        <v>26</v>
      </c>
      <c r="B15" s="127">
        <v>62</v>
      </c>
    </row>
    <row r="16" spans="1:2" x14ac:dyDescent="0.25">
      <c r="A16" s="129" t="s">
        <v>67</v>
      </c>
      <c r="B16" s="127">
        <v>67</v>
      </c>
    </row>
    <row r="17" spans="1:2" x14ac:dyDescent="0.25">
      <c r="A17" s="129" t="s">
        <v>50</v>
      </c>
      <c r="B17" s="127">
        <v>69</v>
      </c>
    </row>
    <row r="18" spans="1:2" x14ac:dyDescent="0.25">
      <c r="A18" s="129" t="s">
        <v>58</v>
      </c>
      <c r="B18" s="127">
        <v>61</v>
      </c>
    </row>
    <row r="19" spans="1:2" x14ac:dyDescent="0.25">
      <c r="A19" s="129" t="s">
        <v>293</v>
      </c>
      <c r="B19" s="127">
        <v>902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38C21-9F01-4CCE-9005-AAA4ABC9357C}">
  <dimension ref="A3:B8"/>
  <sheetViews>
    <sheetView workbookViewId="0">
      <selection activeCell="N13" sqref="N13"/>
    </sheetView>
  </sheetViews>
  <sheetFormatPr defaultRowHeight="15" x14ac:dyDescent="0.25"/>
  <cols>
    <col min="1" max="1" width="13.140625" bestFit="1" customWidth="1"/>
    <col min="2" max="2" width="24" bestFit="1" customWidth="1"/>
  </cols>
  <sheetData>
    <row r="3" spans="1:2" x14ac:dyDescent="0.25">
      <c r="A3" s="128" t="s">
        <v>292</v>
      </c>
      <c r="B3" t="s">
        <v>295</v>
      </c>
    </row>
    <row r="4" spans="1:2" x14ac:dyDescent="0.25">
      <c r="A4" s="129" t="s">
        <v>30</v>
      </c>
      <c r="B4" s="127">
        <v>24.200000000000003</v>
      </c>
    </row>
    <row r="5" spans="1:2" x14ac:dyDescent="0.25">
      <c r="A5" s="129" t="s">
        <v>175</v>
      </c>
      <c r="B5" s="127">
        <v>2.9</v>
      </c>
    </row>
    <row r="6" spans="1:2" x14ac:dyDescent="0.25">
      <c r="A6" s="129" t="s">
        <v>28</v>
      </c>
      <c r="B6" s="127">
        <v>31.700000000000006</v>
      </c>
    </row>
    <row r="7" spans="1:2" x14ac:dyDescent="0.25">
      <c r="A7" s="129" t="s">
        <v>35</v>
      </c>
      <c r="B7" s="127">
        <v>15</v>
      </c>
    </row>
    <row r="8" spans="1:2" x14ac:dyDescent="0.25">
      <c r="A8" s="129" t="s">
        <v>293</v>
      </c>
      <c r="B8" s="127">
        <v>73.800000000000011</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D0BAF-4158-43B7-9424-0F57499EC5EB}">
  <dimension ref="A3:B22"/>
  <sheetViews>
    <sheetView topLeftCell="C1" workbookViewId="0">
      <selection activeCell="L16" sqref="L16"/>
    </sheetView>
  </sheetViews>
  <sheetFormatPr defaultRowHeight="15" x14ac:dyDescent="0.25"/>
  <cols>
    <col min="1" max="1" width="15.5703125" bestFit="1" customWidth="1"/>
    <col min="2" max="2" width="20.85546875" bestFit="1" customWidth="1"/>
  </cols>
  <sheetData>
    <row r="3" spans="1:2" x14ac:dyDescent="0.25">
      <c r="A3" s="128" t="s">
        <v>292</v>
      </c>
      <c r="B3" t="s">
        <v>299</v>
      </c>
    </row>
    <row r="4" spans="1:2" x14ac:dyDescent="0.25">
      <c r="A4" s="129" t="s">
        <v>40</v>
      </c>
      <c r="B4" s="127">
        <v>248</v>
      </c>
    </row>
    <row r="5" spans="1:2" x14ac:dyDescent="0.25">
      <c r="A5" s="141" t="s">
        <v>37</v>
      </c>
      <c r="B5" s="127">
        <v>65</v>
      </c>
    </row>
    <row r="6" spans="1:2" x14ac:dyDescent="0.25">
      <c r="A6" s="141" t="s">
        <v>8</v>
      </c>
      <c r="B6" s="127">
        <v>58</v>
      </c>
    </row>
    <row r="7" spans="1:2" x14ac:dyDescent="0.25">
      <c r="A7" s="141" t="s">
        <v>60</v>
      </c>
      <c r="B7" s="127">
        <v>61</v>
      </c>
    </row>
    <row r="8" spans="1:2" x14ac:dyDescent="0.25">
      <c r="A8" s="141" t="s">
        <v>67</v>
      </c>
      <c r="B8" s="127">
        <v>64</v>
      </c>
    </row>
    <row r="9" spans="1:2" x14ac:dyDescent="0.25">
      <c r="A9" s="129" t="s">
        <v>30</v>
      </c>
      <c r="B9" s="127">
        <v>486</v>
      </c>
    </row>
    <row r="10" spans="1:2" x14ac:dyDescent="0.25">
      <c r="A10" s="141" t="s">
        <v>52</v>
      </c>
      <c r="B10" s="127">
        <v>74</v>
      </c>
    </row>
    <row r="11" spans="1:2" x14ac:dyDescent="0.25">
      <c r="A11" s="141" t="s">
        <v>64</v>
      </c>
      <c r="B11" s="127">
        <v>66</v>
      </c>
    </row>
    <row r="12" spans="1:2" x14ac:dyDescent="0.25">
      <c r="A12" s="141" t="s">
        <v>44</v>
      </c>
      <c r="B12" s="127">
        <v>70</v>
      </c>
    </row>
    <row r="13" spans="1:2" x14ac:dyDescent="0.25">
      <c r="A13" s="141" t="s">
        <v>42</v>
      </c>
      <c r="B13" s="127">
        <v>68</v>
      </c>
    </row>
    <row r="14" spans="1:2" x14ac:dyDescent="0.25">
      <c r="A14" s="141" t="s">
        <v>26</v>
      </c>
      <c r="B14" s="127">
        <v>72</v>
      </c>
    </row>
    <row r="15" spans="1:2" x14ac:dyDescent="0.25">
      <c r="A15" s="141" t="s">
        <v>50</v>
      </c>
      <c r="B15" s="127">
        <v>67</v>
      </c>
    </row>
    <row r="16" spans="1:2" x14ac:dyDescent="0.25">
      <c r="A16" s="141" t="s">
        <v>58</v>
      </c>
      <c r="B16" s="127">
        <v>69</v>
      </c>
    </row>
    <row r="17" spans="1:2" x14ac:dyDescent="0.25">
      <c r="A17" s="129" t="s">
        <v>35</v>
      </c>
      <c r="B17" s="127">
        <v>319</v>
      </c>
    </row>
    <row r="18" spans="1:2" x14ac:dyDescent="0.25">
      <c r="A18" s="141" t="s">
        <v>7</v>
      </c>
      <c r="B18" s="127">
        <v>85</v>
      </c>
    </row>
    <row r="19" spans="1:2" x14ac:dyDescent="0.25">
      <c r="A19" s="141" t="s">
        <v>54</v>
      </c>
      <c r="B19" s="127">
        <v>76</v>
      </c>
    </row>
    <row r="20" spans="1:2" x14ac:dyDescent="0.25">
      <c r="A20" s="141" t="s">
        <v>47</v>
      </c>
      <c r="B20" s="127">
        <v>78</v>
      </c>
    </row>
    <row r="21" spans="1:2" x14ac:dyDescent="0.25">
      <c r="A21" s="141" t="s">
        <v>56</v>
      </c>
      <c r="B21" s="127">
        <v>80</v>
      </c>
    </row>
    <row r="22" spans="1:2" x14ac:dyDescent="0.25">
      <c r="A22" s="129" t="s">
        <v>293</v>
      </c>
      <c r="B22" s="127">
        <v>1053</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660E-69B0-4B51-A3DC-DC66AAF64384}">
  <dimension ref="A3:B19"/>
  <sheetViews>
    <sheetView workbookViewId="0">
      <selection activeCell="I22" sqref="I22"/>
    </sheetView>
  </sheetViews>
  <sheetFormatPr defaultRowHeight="15" x14ac:dyDescent="0.25"/>
  <cols>
    <col min="1" max="1" width="13.140625" bestFit="1" customWidth="1"/>
    <col min="2" max="2" width="24.5703125" bestFit="1" customWidth="1"/>
  </cols>
  <sheetData>
    <row r="3" spans="1:2" x14ac:dyDescent="0.25">
      <c r="A3" s="128" t="s">
        <v>292</v>
      </c>
      <c r="B3" t="s">
        <v>298</v>
      </c>
    </row>
    <row r="4" spans="1:2" x14ac:dyDescent="0.25">
      <c r="A4" s="129" t="s">
        <v>52</v>
      </c>
      <c r="B4" s="127">
        <v>6.2</v>
      </c>
    </row>
    <row r="5" spans="1:2" x14ac:dyDescent="0.25">
      <c r="A5" s="129" t="s">
        <v>37</v>
      </c>
      <c r="B5" s="127">
        <v>7.4</v>
      </c>
    </row>
    <row r="6" spans="1:2" x14ac:dyDescent="0.25">
      <c r="A6" s="129" t="s">
        <v>64</v>
      </c>
      <c r="B6" s="127">
        <v>6.7</v>
      </c>
    </row>
    <row r="7" spans="1:2" x14ac:dyDescent="0.25">
      <c r="A7" s="129" t="s">
        <v>8</v>
      </c>
      <c r="B7" s="127">
        <v>8.4</v>
      </c>
    </row>
    <row r="8" spans="1:2" x14ac:dyDescent="0.25">
      <c r="A8" s="129" t="s">
        <v>44</v>
      </c>
      <c r="B8" s="127">
        <v>6.9</v>
      </c>
    </row>
    <row r="9" spans="1:2" x14ac:dyDescent="0.25">
      <c r="A9" s="129" t="s">
        <v>7</v>
      </c>
      <c r="B9" s="127">
        <v>4.2</v>
      </c>
    </row>
    <row r="10" spans="1:2" x14ac:dyDescent="0.25">
      <c r="A10" s="129" t="s">
        <v>42</v>
      </c>
      <c r="B10" s="127">
        <v>7.1</v>
      </c>
    </row>
    <row r="11" spans="1:2" x14ac:dyDescent="0.25">
      <c r="A11" s="129" t="s">
        <v>54</v>
      </c>
      <c r="B11" s="127">
        <v>5.5</v>
      </c>
    </row>
    <row r="12" spans="1:2" x14ac:dyDescent="0.25">
      <c r="A12" s="129" t="s">
        <v>60</v>
      </c>
      <c r="B12" s="127">
        <v>7.9</v>
      </c>
    </row>
    <row r="13" spans="1:2" x14ac:dyDescent="0.25">
      <c r="A13" s="129" t="s">
        <v>47</v>
      </c>
      <c r="B13" s="127">
        <v>5.0999999999999996</v>
      </c>
    </row>
    <row r="14" spans="1:2" x14ac:dyDescent="0.25">
      <c r="A14" s="129" t="s">
        <v>56</v>
      </c>
      <c r="B14" s="127">
        <v>4.7</v>
      </c>
    </row>
    <row r="15" spans="1:2" x14ac:dyDescent="0.25">
      <c r="A15" s="129" t="s">
        <v>26</v>
      </c>
      <c r="B15" s="127">
        <v>6.8</v>
      </c>
    </row>
    <row r="16" spans="1:2" x14ac:dyDescent="0.25">
      <c r="A16" s="129" t="s">
        <v>67</v>
      </c>
      <c r="B16" s="127">
        <v>7</v>
      </c>
    </row>
    <row r="17" spans="1:2" x14ac:dyDescent="0.25">
      <c r="A17" s="129" t="s">
        <v>50</v>
      </c>
      <c r="B17" s="127">
        <v>7.3</v>
      </c>
    </row>
    <row r="18" spans="1:2" x14ac:dyDescent="0.25">
      <c r="A18" s="129" t="s">
        <v>58</v>
      </c>
      <c r="B18" s="127">
        <v>7.6</v>
      </c>
    </row>
    <row r="19" spans="1:2" x14ac:dyDescent="0.25">
      <c r="A19" s="129" t="s">
        <v>293</v>
      </c>
      <c r="B19" s="127">
        <v>98.8</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1C5BD-6CC8-402B-A032-8BAC2530F7EB}">
  <dimension ref="A3:B18"/>
  <sheetViews>
    <sheetView workbookViewId="0">
      <selection activeCell="K11" sqref="K11"/>
    </sheetView>
  </sheetViews>
  <sheetFormatPr defaultRowHeight="15" x14ac:dyDescent="0.25"/>
  <cols>
    <col min="1" max="1" width="13.140625" bestFit="1" customWidth="1"/>
    <col min="2" max="2" width="24" bestFit="1" customWidth="1"/>
  </cols>
  <sheetData>
    <row r="3" spans="1:2" x14ac:dyDescent="0.25">
      <c r="A3" s="128" t="s">
        <v>292</v>
      </c>
      <c r="B3" t="s">
        <v>295</v>
      </c>
    </row>
    <row r="4" spans="1:2" x14ac:dyDescent="0.25">
      <c r="A4" s="129" t="s">
        <v>52</v>
      </c>
      <c r="B4" s="127">
        <v>4.9000000000000004</v>
      </c>
    </row>
    <row r="5" spans="1:2" x14ac:dyDescent="0.25">
      <c r="A5" s="129" t="s">
        <v>37</v>
      </c>
      <c r="B5" s="127">
        <v>3.4</v>
      </c>
    </row>
    <row r="6" spans="1:2" x14ac:dyDescent="0.25">
      <c r="A6" s="129" t="s">
        <v>64</v>
      </c>
      <c r="B6" s="127">
        <v>3.6</v>
      </c>
    </row>
    <row r="7" spans="1:2" x14ac:dyDescent="0.25">
      <c r="A7" s="129" t="s">
        <v>8</v>
      </c>
      <c r="B7" s="127">
        <v>2.9</v>
      </c>
    </row>
    <row r="8" spans="1:2" x14ac:dyDescent="0.25">
      <c r="A8" s="129" t="s">
        <v>44</v>
      </c>
      <c r="B8" s="127">
        <v>6.8</v>
      </c>
    </row>
    <row r="9" spans="1:2" x14ac:dyDescent="0.25">
      <c r="A9" s="129" t="s">
        <v>7</v>
      </c>
      <c r="B9" s="127">
        <v>5.8</v>
      </c>
    </row>
    <row r="10" spans="1:2" x14ac:dyDescent="0.25">
      <c r="A10" s="129" t="s">
        <v>42</v>
      </c>
      <c r="B10" s="127">
        <v>4.0999999999999996</v>
      </c>
    </row>
    <row r="11" spans="1:2" x14ac:dyDescent="0.25">
      <c r="A11" s="129" t="s">
        <v>54</v>
      </c>
      <c r="B11" s="127">
        <v>4.2</v>
      </c>
    </row>
    <row r="12" spans="1:2" x14ac:dyDescent="0.25">
      <c r="A12" s="129" t="s">
        <v>60</v>
      </c>
      <c r="B12" s="127">
        <v>7.8</v>
      </c>
    </row>
    <row r="13" spans="1:2" x14ac:dyDescent="0.25">
      <c r="A13" s="129" t="s">
        <v>47</v>
      </c>
      <c r="B13" s="127">
        <v>6.5</v>
      </c>
    </row>
    <row r="14" spans="1:2" x14ac:dyDescent="0.25">
      <c r="A14" s="129" t="s">
        <v>56</v>
      </c>
      <c r="B14" s="127">
        <v>4.4000000000000004</v>
      </c>
    </row>
    <row r="15" spans="1:2" x14ac:dyDescent="0.25">
      <c r="A15" s="129" t="s">
        <v>26</v>
      </c>
      <c r="B15" s="127">
        <v>7.2</v>
      </c>
    </row>
    <row r="16" spans="1:2" x14ac:dyDescent="0.25">
      <c r="A16" s="129" t="s">
        <v>67</v>
      </c>
      <c r="B16" s="127">
        <v>3.3</v>
      </c>
    </row>
    <row r="17" spans="1:2" x14ac:dyDescent="0.25">
      <c r="A17" s="129" t="s">
        <v>50</v>
      </c>
      <c r="B17" s="127">
        <v>3.8</v>
      </c>
    </row>
    <row r="18" spans="1:2" x14ac:dyDescent="0.25">
      <c r="A18" s="129" t="s">
        <v>58</v>
      </c>
      <c r="B18" s="127">
        <v>5.0999999999999996</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16"/>
  <sheetViews>
    <sheetView topLeftCell="D1" workbookViewId="0">
      <selection activeCell="H17" sqref="H17"/>
    </sheetView>
  </sheetViews>
  <sheetFormatPr defaultRowHeight="15" x14ac:dyDescent="0.25"/>
  <cols>
    <col min="1" max="1" width="20.42578125" customWidth="1"/>
    <col min="2" max="2" width="10.85546875" customWidth="1"/>
    <col min="4" max="4" width="12.5703125" customWidth="1"/>
    <col min="5" max="5" width="11.5703125" customWidth="1"/>
    <col min="8" max="8" width="13.140625" customWidth="1"/>
    <col min="9" max="9" width="12.42578125" customWidth="1"/>
    <col min="10" max="10" width="13.85546875" customWidth="1"/>
    <col min="11" max="11" width="14.5703125" customWidth="1"/>
    <col min="12" max="12" width="12.7109375" customWidth="1"/>
    <col min="14" max="14" width="19.28515625" customWidth="1"/>
    <col min="15" max="15" width="12.42578125" customWidth="1"/>
    <col min="16" max="16" width="9.140625" customWidth="1"/>
  </cols>
  <sheetData>
    <row r="1" spans="1:15" ht="25.5" x14ac:dyDescent="0.25">
      <c r="A1" s="20" t="s">
        <v>15</v>
      </c>
      <c r="B1" s="20" t="s">
        <v>16</v>
      </c>
      <c r="C1" s="20" t="s">
        <v>71</v>
      </c>
      <c r="D1" s="20" t="s">
        <v>72</v>
      </c>
      <c r="E1" s="32" t="s">
        <v>97</v>
      </c>
      <c r="F1" s="32" t="s">
        <v>72</v>
      </c>
      <c r="G1" s="32" t="s">
        <v>98</v>
      </c>
      <c r="H1" s="45" t="s">
        <v>123</v>
      </c>
      <c r="I1" s="45" t="s">
        <v>72</v>
      </c>
      <c r="J1" s="45" t="s">
        <v>128</v>
      </c>
      <c r="K1" s="55" t="s">
        <v>146</v>
      </c>
      <c r="L1" s="55" t="s">
        <v>153</v>
      </c>
      <c r="M1" s="55" t="s">
        <v>154</v>
      </c>
      <c r="N1" s="140" t="s">
        <v>300</v>
      </c>
      <c r="O1" s="137" t="s">
        <v>159</v>
      </c>
    </row>
    <row r="2" spans="1:15" x14ac:dyDescent="0.25">
      <c r="A2" s="21" t="s">
        <v>301</v>
      </c>
      <c r="B2" s="4" t="s">
        <v>27</v>
      </c>
      <c r="C2" s="21">
        <v>148</v>
      </c>
      <c r="D2" s="5" t="s">
        <v>28</v>
      </c>
      <c r="E2" s="35">
        <v>62</v>
      </c>
      <c r="F2" s="6" t="s">
        <v>29</v>
      </c>
      <c r="G2" s="36">
        <v>7.2</v>
      </c>
      <c r="H2" s="48">
        <v>72</v>
      </c>
      <c r="I2" s="5" t="s">
        <v>30</v>
      </c>
      <c r="J2" s="50">
        <v>5.6</v>
      </c>
      <c r="K2" s="56">
        <v>0.68</v>
      </c>
      <c r="L2" s="22">
        <v>6.8</v>
      </c>
      <c r="M2" s="6" t="s">
        <v>29</v>
      </c>
      <c r="N2" s="131">
        <v>7.2</v>
      </c>
      <c r="O2" s="133" t="s">
        <v>35</v>
      </c>
    </row>
    <row r="3" spans="1:15" x14ac:dyDescent="0.25">
      <c r="A3" s="24" t="s">
        <v>302</v>
      </c>
      <c r="B3" s="12" t="s">
        <v>32</v>
      </c>
      <c r="C3" s="24">
        <v>312</v>
      </c>
      <c r="D3" s="13" t="s">
        <v>33</v>
      </c>
      <c r="E3" s="24">
        <v>38</v>
      </c>
      <c r="F3" s="14" t="s">
        <v>34</v>
      </c>
      <c r="G3" s="16">
        <v>7.8</v>
      </c>
      <c r="H3" s="51">
        <v>85</v>
      </c>
      <c r="I3" s="14" t="s">
        <v>35</v>
      </c>
      <c r="J3" s="25">
        <v>3</v>
      </c>
      <c r="K3" s="59">
        <v>0.42</v>
      </c>
      <c r="L3" s="25">
        <v>4.2</v>
      </c>
      <c r="M3" s="14" t="s">
        <v>34</v>
      </c>
      <c r="N3" s="132">
        <v>5.8</v>
      </c>
      <c r="O3" s="134" t="s">
        <v>30</v>
      </c>
    </row>
    <row r="4" spans="1:15" x14ac:dyDescent="0.25">
      <c r="A4" s="21" t="s">
        <v>303</v>
      </c>
      <c r="B4" s="4" t="s">
        <v>38</v>
      </c>
      <c r="C4" s="21">
        <v>89</v>
      </c>
      <c r="D4" s="6" t="s">
        <v>39</v>
      </c>
      <c r="E4" s="35">
        <v>71</v>
      </c>
      <c r="F4" s="6" t="s">
        <v>29</v>
      </c>
      <c r="G4" s="36">
        <v>7.1</v>
      </c>
      <c r="H4" s="48">
        <v>65</v>
      </c>
      <c r="I4" s="6" t="s">
        <v>40</v>
      </c>
      <c r="J4" s="50">
        <v>7</v>
      </c>
      <c r="K4" s="56">
        <v>0.74</v>
      </c>
      <c r="L4" s="22">
        <v>7.4</v>
      </c>
      <c r="M4" s="6" t="s">
        <v>29</v>
      </c>
      <c r="N4" s="131">
        <v>3.4</v>
      </c>
      <c r="O4" s="135" t="s">
        <v>28</v>
      </c>
    </row>
    <row r="5" spans="1:15" x14ac:dyDescent="0.25">
      <c r="A5" s="24" t="s">
        <v>304</v>
      </c>
      <c r="B5" s="12" t="s">
        <v>38</v>
      </c>
      <c r="C5" s="24">
        <v>112</v>
      </c>
      <c r="D5" s="5" t="s">
        <v>28</v>
      </c>
      <c r="E5" s="24">
        <v>66</v>
      </c>
      <c r="F5" s="6" t="s">
        <v>29</v>
      </c>
      <c r="G5" s="16">
        <v>7.3</v>
      </c>
      <c r="H5" s="51">
        <v>68</v>
      </c>
      <c r="I5" s="5" t="s">
        <v>30</v>
      </c>
      <c r="J5" s="25">
        <v>6.4</v>
      </c>
      <c r="K5" s="59">
        <v>0.71</v>
      </c>
      <c r="L5" s="25">
        <v>7.1</v>
      </c>
      <c r="M5" s="6" t="s">
        <v>29</v>
      </c>
      <c r="N5" s="132">
        <v>4.0999999999999996</v>
      </c>
      <c r="O5" s="135" t="s">
        <v>28</v>
      </c>
    </row>
    <row r="6" spans="1:15" x14ac:dyDescent="0.25">
      <c r="A6" s="21" t="s">
        <v>305</v>
      </c>
      <c r="B6" s="4" t="s">
        <v>38</v>
      </c>
      <c r="C6" s="21">
        <v>98</v>
      </c>
      <c r="D6" s="6" t="s">
        <v>39</v>
      </c>
      <c r="E6" s="35">
        <v>58</v>
      </c>
      <c r="F6" s="5" t="s">
        <v>45</v>
      </c>
      <c r="G6" s="36">
        <v>7.5</v>
      </c>
      <c r="H6" s="48">
        <v>70</v>
      </c>
      <c r="I6" s="5" t="s">
        <v>30</v>
      </c>
      <c r="J6" s="50">
        <v>6</v>
      </c>
      <c r="K6" s="56">
        <v>0.69</v>
      </c>
      <c r="L6" s="22">
        <v>6.9</v>
      </c>
      <c r="M6" s="6" t="s">
        <v>29</v>
      </c>
      <c r="N6" s="131">
        <v>6.8</v>
      </c>
      <c r="O6" s="134" t="s">
        <v>30</v>
      </c>
    </row>
    <row r="7" spans="1:15" x14ac:dyDescent="0.25">
      <c r="A7" s="24" t="s">
        <v>306</v>
      </c>
      <c r="B7" s="12" t="s">
        <v>48</v>
      </c>
      <c r="C7" s="24">
        <v>201</v>
      </c>
      <c r="D7" s="14" t="s">
        <v>34</v>
      </c>
      <c r="E7" s="24">
        <v>44</v>
      </c>
      <c r="F7" s="5" t="s">
        <v>45</v>
      </c>
      <c r="G7" s="16">
        <v>7.6</v>
      </c>
      <c r="H7" s="51">
        <v>78</v>
      </c>
      <c r="I7" s="14" t="s">
        <v>35</v>
      </c>
      <c r="J7" s="25">
        <v>4.4000000000000004</v>
      </c>
      <c r="K7" s="59">
        <v>0.51</v>
      </c>
      <c r="L7" s="25">
        <v>5.0999999999999996</v>
      </c>
      <c r="M7" s="5" t="s">
        <v>28</v>
      </c>
      <c r="N7" s="132">
        <v>6.5</v>
      </c>
      <c r="O7" s="134" t="s">
        <v>30</v>
      </c>
    </row>
    <row r="8" spans="1:15" x14ac:dyDescent="0.25">
      <c r="A8" s="21" t="s">
        <v>307</v>
      </c>
      <c r="B8" s="4" t="s">
        <v>27</v>
      </c>
      <c r="C8" s="21">
        <v>102</v>
      </c>
      <c r="D8" s="5" t="s">
        <v>28</v>
      </c>
      <c r="E8" s="35">
        <v>69</v>
      </c>
      <c r="F8" s="6" t="s">
        <v>29</v>
      </c>
      <c r="G8" s="36">
        <v>7.2</v>
      </c>
      <c r="H8" s="48">
        <v>67</v>
      </c>
      <c r="I8" s="5" t="s">
        <v>30</v>
      </c>
      <c r="J8" s="50">
        <v>6.6</v>
      </c>
      <c r="K8" s="56">
        <v>0.73</v>
      </c>
      <c r="L8" s="22">
        <v>7.3</v>
      </c>
      <c r="M8" s="6" t="s">
        <v>29</v>
      </c>
      <c r="N8" s="131">
        <v>3.8</v>
      </c>
      <c r="O8" s="135" t="s">
        <v>28</v>
      </c>
    </row>
    <row r="9" spans="1:15" x14ac:dyDescent="0.25">
      <c r="A9" s="24" t="s">
        <v>308</v>
      </c>
      <c r="B9" s="12" t="s">
        <v>27</v>
      </c>
      <c r="C9" s="24">
        <v>178</v>
      </c>
      <c r="D9" s="5" t="s">
        <v>28</v>
      </c>
      <c r="E9" s="24">
        <v>52</v>
      </c>
      <c r="F9" s="5" t="s">
        <v>45</v>
      </c>
      <c r="G9" s="16">
        <v>7.4</v>
      </c>
      <c r="H9" s="51">
        <v>74</v>
      </c>
      <c r="I9" s="5" t="s">
        <v>30</v>
      </c>
      <c r="J9" s="25">
        <v>5.2</v>
      </c>
      <c r="K9" s="59">
        <v>0.62</v>
      </c>
      <c r="L9" s="25">
        <v>6.2</v>
      </c>
      <c r="M9" s="5" t="s">
        <v>28</v>
      </c>
      <c r="N9" s="132">
        <v>4.9000000000000004</v>
      </c>
      <c r="O9" s="135" t="s">
        <v>28</v>
      </c>
    </row>
    <row r="10" spans="1:15" x14ac:dyDescent="0.25">
      <c r="A10" s="21" t="s">
        <v>309</v>
      </c>
      <c r="B10" s="4" t="s">
        <v>32</v>
      </c>
      <c r="C10" s="21">
        <v>195</v>
      </c>
      <c r="D10" s="5" t="s">
        <v>28</v>
      </c>
      <c r="E10" s="35">
        <v>48</v>
      </c>
      <c r="F10" s="5" t="s">
        <v>45</v>
      </c>
      <c r="G10" s="36">
        <v>7.6</v>
      </c>
      <c r="H10" s="48">
        <v>76</v>
      </c>
      <c r="I10" s="14" t="s">
        <v>35</v>
      </c>
      <c r="J10" s="50">
        <v>4.8</v>
      </c>
      <c r="K10" s="56">
        <v>0.55000000000000004</v>
      </c>
      <c r="L10" s="22">
        <v>5.5</v>
      </c>
      <c r="M10" s="5" t="s">
        <v>28</v>
      </c>
      <c r="N10" s="131">
        <v>4.2</v>
      </c>
      <c r="O10" s="135" t="s">
        <v>28</v>
      </c>
    </row>
    <row r="11" spans="1:15" x14ac:dyDescent="0.25">
      <c r="A11" s="24" t="s">
        <v>310</v>
      </c>
      <c r="B11" s="12" t="s">
        <v>32</v>
      </c>
      <c r="C11" s="24">
        <v>248</v>
      </c>
      <c r="D11" s="14" t="s">
        <v>34</v>
      </c>
      <c r="E11" s="24">
        <v>41</v>
      </c>
      <c r="F11" s="5" t="s">
        <v>45</v>
      </c>
      <c r="G11" s="16">
        <v>7.7</v>
      </c>
      <c r="H11" s="51">
        <v>80</v>
      </c>
      <c r="I11" s="14" t="s">
        <v>35</v>
      </c>
      <c r="J11" s="25">
        <v>4</v>
      </c>
      <c r="K11" s="59">
        <v>0.47</v>
      </c>
      <c r="L11" s="25">
        <v>4.7</v>
      </c>
      <c r="M11" s="14" t="s">
        <v>34</v>
      </c>
      <c r="N11" s="132">
        <v>4.4000000000000004</v>
      </c>
      <c r="O11" s="135" t="s">
        <v>28</v>
      </c>
    </row>
    <row r="12" spans="1:15" x14ac:dyDescent="0.25">
      <c r="A12" s="21" t="s">
        <v>311</v>
      </c>
      <c r="B12" s="4" t="s">
        <v>27</v>
      </c>
      <c r="C12" s="21">
        <v>134</v>
      </c>
      <c r="D12" s="5" t="s">
        <v>28</v>
      </c>
      <c r="E12" s="35">
        <v>61</v>
      </c>
      <c r="F12" s="6" t="s">
        <v>29</v>
      </c>
      <c r="G12" s="36">
        <v>7.3</v>
      </c>
      <c r="H12" s="48">
        <v>69</v>
      </c>
      <c r="I12" s="5" t="s">
        <v>30</v>
      </c>
      <c r="J12" s="50">
        <v>6.2</v>
      </c>
      <c r="K12" s="56">
        <v>0.76</v>
      </c>
      <c r="L12" s="22">
        <v>7.6</v>
      </c>
      <c r="M12" s="6" t="s">
        <v>29</v>
      </c>
      <c r="N12" s="131">
        <v>5.0999999999999996</v>
      </c>
      <c r="O12" s="134" t="s">
        <v>30</v>
      </c>
    </row>
    <row r="13" spans="1:15" x14ac:dyDescent="0.25">
      <c r="A13" s="24" t="s">
        <v>312</v>
      </c>
      <c r="B13" s="12" t="s">
        <v>38</v>
      </c>
      <c r="C13" s="24">
        <v>75</v>
      </c>
      <c r="D13" s="6" t="s">
        <v>39</v>
      </c>
      <c r="E13" s="24">
        <v>78</v>
      </c>
      <c r="F13" s="6" t="s">
        <v>29</v>
      </c>
      <c r="G13" s="16">
        <v>7</v>
      </c>
      <c r="H13" s="51">
        <v>61</v>
      </c>
      <c r="I13" s="6" t="s">
        <v>40</v>
      </c>
      <c r="J13" s="25">
        <v>7.8</v>
      </c>
      <c r="K13" s="59">
        <v>0.79</v>
      </c>
      <c r="L13" s="25">
        <v>7.9</v>
      </c>
      <c r="M13" s="6" t="s">
        <v>29</v>
      </c>
      <c r="N13" s="132">
        <v>7.8</v>
      </c>
      <c r="O13" s="133" t="s">
        <v>35</v>
      </c>
    </row>
    <row r="14" spans="1:15" x14ac:dyDescent="0.25">
      <c r="A14" s="21" t="s">
        <v>313</v>
      </c>
      <c r="B14" s="4" t="s">
        <v>32</v>
      </c>
      <c r="C14" s="21">
        <v>68</v>
      </c>
      <c r="D14" s="6" t="s">
        <v>39</v>
      </c>
      <c r="E14" s="35">
        <v>82</v>
      </c>
      <c r="F14" s="19" t="s">
        <v>62</v>
      </c>
      <c r="G14" s="36">
        <v>7.1</v>
      </c>
      <c r="H14" s="48">
        <v>58</v>
      </c>
      <c r="I14" s="6" t="s">
        <v>40</v>
      </c>
      <c r="J14" s="50">
        <v>8.4</v>
      </c>
      <c r="K14" s="56">
        <v>0.84</v>
      </c>
      <c r="L14" s="22">
        <v>8.4</v>
      </c>
      <c r="M14" s="19" t="s">
        <v>62</v>
      </c>
      <c r="N14" s="131">
        <v>2.9</v>
      </c>
      <c r="O14" s="136" t="s">
        <v>175</v>
      </c>
    </row>
    <row r="15" spans="1:15" x14ac:dyDescent="0.25">
      <c r="A15" s="24" t="s">
        <v>314</v>
      </c>
      <c r="B15" s="12" t="s">
        <v>65</v>
      </c>
      <c r="C15" s="24">
        <v>121</v>
      </c>
      <c r="D15" s="5" t="s">
        <v>28</v>
      </c>
      <c r="E15" s="24">
        <v>65</v>
      </c>
      <c r="F15" s="6" t="s">
        <v>29</v>
      </c>
      <c r="G15" s="16">
        <v>7.2</v>
      </c>
      <c r="H15" s="51">
        <v>66</v>
      </c>
      <c r="I15" s="5" t="s">
        <v>30</v>
      </c>
      <c r="J15" s="25">
        <v>6.8</v>
      </c>
      <c r="K15" s="59">
        <v>0.67</v>
      </c>
      <c r="L15" s="25">
        <v>6.7</v>
      </c>
      <c r="M15" s="6" t="s">
        <v>29</v>
      </c>
      <c r="N15" s="132">
        <v>3.6</v>
      </c>
      <c r="O15" s="135" t="s">
        <v>28</v>
      </c>
    </row>
    <row r="16" spans="1:15" x14ac:dyDescent="0.25">
      <c r="A16" s="21" t="s">
        <v>315</v>
      </c>
      <c r="B16" s="4" t="s">
        <v>65</v>
      </c>
      <c r="C16" s="21">
        <v>115</v>
      </c>
      <c r="D16" s="5" t="s">
        <v>28</v>
      </c>
      <c r="E16" s="35">
        <v>67</v>
      </c>
      <c r="F16" s="6" t="s">
        <v>29</v>
      </c>
      <c r="G16" s="36">
        <v>7.2</v>
      </c>
      <c r="H16" s="48">
        <v>64</v>
      </c>
      <c r="I16" s="6" t="s">
        <v>40</v>
      </c>
      <c r="J16" s="50">
        <v>7.2</v>
      </c>
      <c r="K16" s="56">
        <v>0.7</v>
      </c>
      <c r="L16" s="22">
        <v>7</v>
      </c>
      <c r="M16" s="6" t="s">
        <v>29</v>
      </c>
      <c r="N16" s="138">
        <v>3.3</v>
      </c>
      <c r="O16" s="139" t="s">
        <v>28</v>
      </c>
    </row>
  </sheetData>
  <conditionalFormatting sqref="C2:C16">
    <cfRule type="colorScale" priority="4">
      <colorScale>
        <cfvo type="min"/>
        <cfvo type="num" val="200"/>
        <cfvo type="max"/>
        <color rgb="FFF8696B"/>
        <color rgb="FFFCFCFF"/>
        <color rgb="FF63BE7B"/>
      </colorScale>
    </cfRule>
  </conditionalFormatting>
  <conditionalFormatting sqref="E2:E16">
    <cfRule type="colorScale" priority="9">
      <colorScale>
        <cfvo type="min"/>
        <cfvo type="num" val="60"/>
        <cfvo type="max"/>
        <color rgb="FFF8696B"/>
        <color rgb="FFFFEB84"/>
        <color rgb="FF63BE7B"/>
      </colorScale>
    </cfRule>
  </conditionalFormatting>
  <conditionalFormatting sqref="H2:H16">
    <cfRule type="colorScale" priority="8">
      <colorScale>
        <cfvo type="min"/>
        <cfvo type="num" val="70"/>
        <cfvo type="max"/>
        <color rgb="FF63BE7B"/>
        <color rgb="FFFFEB84"/>
        <color rgb="FFF8696B"/>
      </colorScale>
    </cfRule>
  </conditionalFormatting>
  <conditionalFormatting sqref="K2:K16">
    <cfRule type="colorScale" priority="7">
      <colorScale>
        <cfvo type="min"/>
        <cfvo type="num" val="0.65"/>
        <cfvo type="max"/>
        <color rgb="FFF8696B"/>
        <color rgb="FFFFEB84"/>
        <color rgb="FF63BE7B"/>
      </colorScale>
    </cfRule>
    <cfRule type="dataBar" priority="1">
      <dataBar>
        <cfvo type="min"/>
        <cfvo type="max"/>
        <color rgb="FF638EC6"/>
      </dataBar>
      <extLst>
        <ext xmlns:x14="http://schemas.microsoft.com/office/spreadsheetml/2009/9/main" uri="{B025F937-C7B1-47D3-B67F-A62EFF666E3E}">
          <x14:id>{E6371C3C-BFD1-432D-86FD-E0BD0433491E}</x14:id>
        </ext>
      </extLst>
    </cfRule>
  </conditionalFormatting>
  <conditionalFormatting sqref="N2:N16">
    <cfRule type="colorScale" priority="6">
      <colorScale>
        <cfvo type="min"/>
        <cfvo type="num" val="5"/>
        <cfvo type="max"/>
        <color rgb="FF63BE7B"/>
        <color rgb="FFFFEB84"/>
        <color rgb="FFF8696B"/>
      </colorScale>
    </cfRule>
  </conditionalFormatting>
  <conditionalFormatting sqref="B2:O16">
    <cfRule type="dataBar" priority="5">
      <dataBar>
        <cfvo type="min"/>
        <cfvo type="max"/>
        <color rgb="FF638EC6"/>
      </dataBar>
      <extLst>
        <ext xmlns:x14="http://schemas.microsoft.com/office/spreadsheetml/2009/9/main" uri="{B025F937-C7B1-47D3-B67F-A62EFF666E3E}">
          <x14:id>{4A95DE55-DDB2-4331-96C5-AFA26C965FC8}</x14:id>
        </ext>
      </extLst>
    </cfRule>
  </conditionalFormatting>
  <conditionalFormatting sqref="L2:L16">
    <cfRule type="dataBar" priority="3">
      <dataBar>
        <cfvo type="min"/>
        <cfvo type="max"/>
        <color rgb="FF638EC6"/>
      </dataBar>
      <extLst>
        <ext xmlns:x14="http://schemas.microsoft.com/office/spreadsheetml/2009/9/main" uri="{B025F937-C7B1-47D3-B67F-A62EFF666E3E}">
          <x14:id>{D0EE62C6-4CA6-4E46-B5C9-23A0BE9521EB}</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E6371C3C-BFD1-432D-86FD-E0BD0433491E}">
            <x14:dataBar minLength="0" maxLength="100" gradient="0">
              <x14:cfvo type="autoMin"/>
              <x14:cfvo type="autoMax"/>
              <x14:negativeFillColor rgb="FFFF0000"/>
              <x14:axisColor rgb="FF000000"/>
            </x14:dataBar>
          </x14:cfRule>
          <xm:sqref>K2:K16</xm:sqref>
        </x14:conditionalFormatting>
        <x14:conditionalFormatting xmlns:xm="http://schemas.microsoft.com/office/excel/2006/main">
          <x14:cfRule type="dataBar" id="{4A95DE55-DDB2-4331-96C5-AFA26C965FC8}">
            <x14:dataBar minLength="0" maxLength="100" gradient="0">
              <x14:cfvo type="autoMin"/>
              <x14:cfvo type="autoMax"/>
              <x14:negativeFillColor rgb="FFFF0000"/>
              <x14:axisColor rgb="FF000000"/>
            </x14:dataBar>
          </x14:cfRule>
          <xm:sqref>B2:O16</xm:sqref>
        </x14:conditionalFormatting>
        <x14:conditionalFormatting xmlns:xm="http://schemas.microsoft.com/office/excel/2006/main">
          <x14:cfRule type="dataBar" id="{D0EE62C6-4CA6-4E46-B5C9-23A0BE9521EB}">
            <x14:dataBar minLength="0" maxLength="100" gradient="0">
              <x14:cfvo type="autoMin"/>
              <x14:cfvo type="autoMax"/>
              <x14:negativeFillColor rgb="FFFF0000"/>
              <x14:axisColor rgb="FF000000"/>
            </x14:dataBar>
          </x14:cfRule>
          <xm:sqref>L2:L16</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63"/>
  <sheetViews>
    <sheetView showGridLines="0" tabSelected="1" zoomScale="70" zoomScaleNormal="70" workbookViewId="0">
      <selection activeCell="J53" sqref="J53"/>
    </sheetView>
  </sheetViews>
  <sheetFormatPr defaultRowHeight="15" x14ac:dyDescent="0.25"/>
  <sheetData>
    <row r="1" spans="1:29" ht="28.5" x14ac:dyDescent="0.45">
      <c r="A1" s="182" t="s">
        <v>297</v>
      </c>
      <c r="B1" s="182"/>
      <c r="C1" s="182"/>
      <c r="D1" s="182"/>
      <c r="E1" s="182"/>
      <c r="F1" s="182"/>
      <c r="G1" s="182"/>
      <c r="H1" s="182"/>
      <c r="I1" s="182"/>
      <c r="J1" s="182"/>
      <c r="K1" s="182"/>
      <c r="L1" s="182"/>
      <c r="M1" s="182"/>
      <c r="N1" s="182"/>
      <c r="O1" s="182"/>
      <c r="P1" s="182"/>
      <c r="Q1" s="182"/>
      <c r="R1" s="182"/>
      <c r="S1" s="182"/>
      <c r="T1" s="182"/>
      <c r="U1" s="182"/>
      <c r="V1" s="182"/>
      <c r="W1" s="182"/>
      <c r="X1" s="182"/>
      <c r="Y1" s="182"/>
      <c r="Z1" s="182"/>
      <c r="AA1" s="182"/>
      <c r="AB1" s="182"/>
      <c r="AC1" s="182"/>
    </row>
    <row r="2" spans="1:29" x14ac:dyDescent="0.25">
      <c r="A2" s="130"/>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row>
    <row r="3" spans="1:29" x14ac:dyDescent="0.25">
      <c r="A3" s="130"/>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row>
    <row r="4" spans="1:29" x14ac:dyDescent="0.25">
      <c r="A4" s="130"/>
      <c r="B4" s="130"/>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row>
    <row r="5" spans="1:29" x14ac:dyDescent="0.25">
      <c r="A5" s="130"/>
      <c r="B5" s="130"/>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row>
    <row r="6" spans="1:29" x14ac:dyDescent="0.25">
      <c r="A6" s="130"/>
      <c r="B6" s="130"/>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row>
    <row r="7" spans="1:29" x14ac:dyDescent="0.25">
      <c r="A7" s="130"/>
      <c r="B7" s="130"/>
      <c r="C7" s="130"/>
      <c r="D7" s="130"/>
      <c r="E7" s="130"/>
      <c r="F7" s="130"/>
      <c r="G7" s="130"/>
      <c r="H7" s="130"/>
      <c r="I7" s="130"/>
      <c r="J7" s="130"/>
      <c r="K7" s="130"/>
      <c r="L7" s="130"/>
      <c r="M7" s="130"/>
      <c r="N7" s="130"/>
      <c r="O7" s="130"/>
      <c r="P7" s="130"/>
      <c r="Q7" s="130"/>
      <c r="R7" s="130"/>
      <c r="S7" s="130"/>
      <c r="T7" s="130"/>
      <c r="U7" s="130"/>
      <c r="V7" s="130"/>
      <c r="W7" s="130"/>
      <c r="X7" s="130"/>
      <c r="Y7" s="130"/>
      <c r="Z7" s="130"/>
      <c r="AA7" s="130"/>
      <c r="AB7" s="130"/>
      <c r="AC7" s="130"/>
    </row>
    <row r="8" spans="1:29" x14ac:dyDescent="0.25">
      <c r="A8" s="130"/>
      <c r="B8" s="130"/>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row>
    <row r="9" spans="1:29" x14ac:dyDescent="0.25">
      <c r="A9" s="130"/>
      <c r="B9" s="130"/>
      <c r="C9" s="130"/>
      <c r="D9" s="130"/>
      <c r="E9" s="130"/>
      <c r="F9" s="130"/>
      <c r="G9" s="130"/>
      <c r="H9" s="130"/>
      <c r="I9" s="130"/>
      <c r="J9" s="130"/>
      <c r="K9" s="130"/>
      <c r="L9" s="130"/>
      <c r="M9" s="130"/>
      <c r="N9" s="130"/>
      <c r="O9" s="130"/>
      <c r="P9" s="130"/>
      <c r="Q9" s="130"/>
      <c r="R9" s="130"/>
      <c r="S9" s="130"/>
      <c r="T9" s="130"/>
      <c r="U9" s="130"/>
      <c r="V9" s="130"/>
      <c r="W9" s="130"/>
      <c r="X9" s="130"/>
      <c r="Y9" s="130"/>
      <c r="Z9" s="130"/>
      <c r="AA9" s="130"/>
      <c r="AB9" s="130"/>
      <c r="AC9" s="130"/>
    </row>
    <row r="10" spans="1:29" x14ac:dyDescent="0.25">
      <c r="A10" s="130"/>
      <c r="B10" s="130"/>
      <c r="C10" s="130"/>
      <c r="D10" s="130"/>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row>
    <row r="11" spans="1:29" x14ac:dyDescent="0.25">
      <c r="A11" s="130"/>
      <c r="B11" s="130"/>
      <c r="C11" s="130"/>
      <c r="D11" s="130"/>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row>
    <row r="12" spans="1:29" x14ac:dyDescent="0.25">
      <c r="A12" s="130"/>
      <c r="B12" s="130"/>
      <c r="C12" s="130"/>
      <c r="D12" s="130"/>
      <c r="E12" s="130"/>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row>
    <row r="13" spans="1:29" x14ac:dyDescent="0.25">
      <c r="A13" s="130"/>
      <c r="B13" s="130"/>
      <c r="C13" s="130"/>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row>
    <row r="14" spans="1:29" x14ac:dyDescent="0.25">
      <c r="A14" s="130"/>
      <c r="B14" s="130"/>
      <c r="C14" s="130"/>
      <c r="D14" s="130"/>
      <c r="E14" s="130"/>
      <c r="F14" s="130"/>
      <c r="G14" s="130"/>
      <c r="H14" s="130"/>
      <c r="I14" s="130"/>
      <c r="J14" s="130"/>
      <c r="K14" s="130"/>
      <c r="L14" s="130"/>
      <c r="M14" s="130"/>
      <c r="N14" s="130"/>
      <c r="O14" s="130"/>
      <c r="P14" s="130"/>
      <c r="Q14" s="130"/>
      <c r="R14" s="130"/>
      <c r="S14" s="130"/>
      <c r="T14" s="130"/>
      <c r="U14" s="130"/>
      <c r="V14" s="130"/>
      <c r="W14" s="130"/>
      <c r="X14" s="130"/>
      <c r="Y14" s="130"/>
      <c r="Z14" s="130"/>
      <c r="AA14" s="130"/>
      <c r="AB14" s="130"/>
      <c r="AC14" s="130"/>
    </row>
    <row r="15" spans="1:29" x14ac:dyDescent="0.25">
      <c r="A15" s="130"/>
      <c r="B15" s="130"/>
      <c r="C15" s="130"/>
      <c r="D15" s="130"/>
      <c r="E15" s="130"/>
      <c r="F15" s="130"/>
      <c r="G15" s="130"/>
      <c r="H15" s="130"/>
      <c r="I15" s="130"/>
      <c r="J15" s="130"/>
      <c r="K15" s="130"/>
      <c r="L15" s="130"/>
      <c r="M15" s="130"/>
      <c r="N15" s="130"/>
      <c r="O15" s="130"/>
      <c r="P15" s="130"/>
      <c r="Q15" s="130"/>
      <c r="R15" s="130"/>
      <c r="S15" s="130"/>
      <c r="T15" s="130"/>
      <c r="U15" s="130"/>
      <c r="V15" s="130"/>
      <c r="W15" s="130"/>
      <c r="X15" s="130"/>
      <c r="Y15" s="130"/>
      <c r="Z15" s="130"/>
      <c r="AA15" s="130"/>
      <c r="AB15" s="130"/>
      <c r="AC15" s="130"/>
    </row>
    <row r="16" spans="1:29" x14ac:dyDescent="0.25">
      <c r="A16" s="130"/>
      <c r="B16" s="130"/>
      <c r="C16" s="130"/>
      <c r="D16" s="130"/>
      <c r="E16" s="130"/>
      <c r="F16" s="130"/>
      <c r="G16" s="130"/>
      <c r="H16" s="130"/>
      <c r="I16" s="130"/>
      <c r="J16" s="130"/>
      <c r="K16" s="130"/>
      <c r="L16" s="130"/>
      <c r="M16" s="130"/>
      <c r="N16" s="130"/>
      <c r="O16" s="130"/>
      <c r="P16" s="130"/>
      <c r="Q16" s="130"/>
      <c r="R16" s="130"/>
      <c r="S16" s="130"/>
      <c r="T16" s="130"/>
      <c r="U16" s="130"/>
      <c r="V16" s="130"/>
      <c r="W16" s="130"/>
      <c r="X16" s="130"/>
      <c r="Y16" s="130"/>
      <c r="Z16" s="130"/>
      <c r="AA16" s="130"/>
      <c r="AB16" s="130"/>
      <c r="AC16" s="130"/>
    </row>
    <row r="17" spans="1:29" x14ac:dyDescent="0.25">
      <c r="A17" s="130"/>
      <c r="B17" s="130"/>
      <c r="C17" s="130"/>
      <c r="D17" s="130"/>
      <c r="E17" s="130"/>
      <c r="F17" s="130"/>
      <c r="G17" s="130"/>
      <c r="H17" s="130"/>
      <c r="I17" s="130"/>
      <c r="J17" s="130"/>
      <c r="K17" s="130"/>
      <c r="L17" s="130"/>
      <c r="M17" s="130"/>
      <c r="N17" s="130"/>
      <c r="O17" s="130"/>
      <c r="P17" s="130"/>
      <c r="Q17" s="130"/>
      <c r="R17" s="130"/>
      <c r="S17" s="130"/>
      <c r="T17" s="130"/>
      <c r="U17" s="130"/>
      <c r="V17" s="130"/>
      <c r="W17" s="130"/>
      <c r="X17" s="130"/>
      <c r="Y17" s="130"/>
      <c r="Z17" s="130"/>
      <c r="AA17" s="130"/>
      <c r="AB17" s="130"/>
      <c r="AC17" s="130"/>
    </row>
    <row r="18" spans="1:29" x14ac:dyDescent="0.25">
      <c r="A18" s="130"/>
      <c r="B18" s="130"/>
      <c r="C18" s="130"/>
      <c r="D18" s="130"/>
      <c r="E18" s="130"/>
      <c r="F18" s="130"/>
      <c r="G18" s="130"/>
      <c r="H18" s="130"/>
      <c r="I18" s="130"/>
      <c r="J18" s="130"/>
      <c r="K18" s="130"/>
      <c r="L18" s="130"/>
      <c r="M18" s="130"/>
      <c r="N18" s="130"/>
      <c r="O18" s="130"/>
      <c r="P18" s="130"/>
      <c r="Q18" s="130"/>
      <c r="R18" s="130"/>
      <c r="S18" s="130"/>
      <c r="T18" s="130"/>
      <c r="U18" s="130"/>
      <c r="V18" s="130"/>
      <c r="W18" s="130"/>
      <c r="X18" s="130"/>
      <c r="Y18" s="130"/>
      <c r="Z18" s="130"/>
      <c r="AA18" s="130"/>
      <c r="AB18" s="130"/>
      <c r="AC18" s="130"/>
    </row>
    <row r="19" spans="1:29" x14ac:dyDescent="0.25">
      <c r="A19" s="130"/>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30"/>
      <c r="AC19" s="130"/>
    </row>
    <row r="20" spans="1:29" x14ac:dyDescent="0.25">
      <c r="A20" s="130"/>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row>
    <row r="21" spans="1:29" x14ac:dyDescent="0.25">
      <c r="A21" s="130"/>
      <c r="B21" s="130"/>
      <c r="C21" s="130"/>
      <c r="D21" s="130"/>
      <c r="E21" s="130"/>
      <c r="F21" s="130"/>
      <c r="G21" s="130"/>
      <c r="H21" s="130"/>
      <c r="I21" s="130"/>
      <c r="J21" s="130"/>
      <c r="K21" s="130"/>
      <c r="L21" s="130"/>
      <c r="M21" s="130"/>
      <c r="N21" s="130"/>
      <c r="O21" s="130"/>
      <c r="P21" s="130"/>
      <c r="Q21" s="130"/>
      <c r="R21" s="130"/>
      <c r="S21" s="130"/>
      <c r="T21" s="130"/>
      <c r="U21" s="130"/>
      <c r="V21" s="130"/>
      <c r="W21" s="130"/>
      <c r="X21" s="130"/>
      <c r="Y21" s="130"/>
      <c r="Z21" s="130"/>
      <c r="AA21" s="130"/>
      <c r="AB21" s="130"/>
      <c r="AC21" s="130"/>
    </row>
    <row r="22" spans="1:29" x14ac:dyDescent="0.25">
      <c r="A22" s="130"/>
      <c r="B22" s="130"/>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row>
    <row r="23" spans="1:29" x14ac:dyDescent="0.25">
      <c r="A23" s="130"/>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30"/>
      <c r="AC23" s="130"/>
    </row>
    <row r="24" spans="1:29" x14ac:dyDescent="0.25">
      <c r="A24" s="130"/>
      <c r="B24" s="130"/>
      <c r="C24" s="130"/>
      <c r="D24" s="130"/>
      <c r="E24" s="130"/>
      <c r="F24" s="130"/>
      <c r="G24" s="130"/>
      <c r="H24" s="130"/>
      <c r="I24" s="130"/>
      <c r="J24" s="130"/>
      <c r="K24" s="130"/>
      <c r="L24" s="130"/>
      <c r="M24" s="130"/>
      <c r="N24" s="130"/>
      <c r="O24" s="130"/>
      <c r="P24" s="130"/>
      <c r="Q24" s="130"/>
      <c r="R24" s="130"/>
      <c r="S24" s="130"/>
      <c r="T24" s="130"/>
      <c r="U24" s="130"/>
      <c r="V24" s="130"/>
      <c r="W24" s="130"/>
      <c r="X24" s="130"/>
      <c r="Y24" s="130"/>
      <c r="Z24" s="130"/>
      <c r="AA24" s="130"/>
      <c r="AB24" s="130"/>
      <c r="AC24" s="130"/>
    </row>
    <row r="25" spans="1:29" x14ac:dyDescent="0.25">
      <c r="A25" s="130"/>
      <c r="B25" s="130"/>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row>
    <row r="26" spans="1:29" x14ac:dyDescent="0.25">
      <c r="A26" s="130"/>
      <c r="B26" s="130"/>
      <c r="C26" s="130"/>
      <c r="D26" s="130"/>
      <c r="E26" s="130"/>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row>
    <row r="27" spans="1:29" x14ac:dyDescent="0.25">
      <c r="A27" s="130"/>
      <c r="B27" s="130"/>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row>
    <row r="28" spans="1:29" x14ac:dyDescent="0.25">
      <c r="A28" s="130"/>
      <c r="B28" s="130"/>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row>
    <row r="29" spans="1:29" x14ac:dyDescent="0.25">
      <c r="A29" s="130"/>
      <c r="B29" s="130"/>
      <c r="C29" s="130"/>
      <c r="D29" s="130"/>
      <c r="E29" s="130"/>
      <c r="F29" s="13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row>
    <row r="30" spans="1:29" x14ac:dyDescent="0.25">
      <c r="A30" s="130"/>
      <c r="B30" s="130"/>
      <c r="C30" s="130"/>
      <c r="D30" s="130"/>
      <c r="E30" s="130"/>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row>
    <row r="31" spans="1:29" x14ac:dyDescent="0.25">
      <c r="A31" s="130"/>
      <c r="B31" s="130"/>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row>
    <row r="32" spans="1:29" x14ac:dyDescent="0.25">
      <c r="A32" s="130"/>
      <c r="B32" s="130"/>
      <c r="C32" s="130"/>
      <c r="D32" s="130"/>
      <c r="E32" s="130"/>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row>
    <row r="33" spans="1:29" x14ac:dyDescent="0.25">
      <c r="A33" s="130"/>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row>
    <row r="34" spans="1:29" x14ac:dyDescent="0.25">
      <c r="A34" s="130"/>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row>
    <row r="35" spans="1:29" x14ac:dyDescent="0.25">
      <c r="A35" s="130"/>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row>
    <row r="36" spans="1:29" x14ac:dyDescent="0.25">
      <c r="A36" s="130"/>
      <c r="B36" s="130"/>
      <c r="C36" s="130"/>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row>
    <row r="37" spans="1:29" x14ac:dyDescent="0.25">
      <c r="A37" s="130"/>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30"/>
      <c r="AC37" s="130"/>
    </row>
    <row r="38" spans="1:29" x14ac:dyDescent="0.25">
      <c r="A38" s="130"/>
      <c r="B38" s="130"/>
      <c r="C38" s="130"/>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row>
    <row r="39" spans="1:29" x14ac:dyDescent="0.25">
      <c r="A39" s="130"/>
      <c r="B39" s="130"/>
      <c r="C39" s="130"/>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row>
    <row r="40" spans="1:29" x14ac:dyDescent="0.25">
      <c r="A40" s="130"/>
      <c r="B40" s="130"/>
      <c r="C40" s="130"/>
      <c r="D40" s="130"/>
      <c r="E40" s="130"/>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row>
    <row r="41" spans="1:29" x14ac:dyDescent="0.25">
      <c r="A41" s="130"/>
      <c r="B41" s="130"/>
      <c r="C41" s="130"/>
      <c r="D41" s="130"/>
      <c r="E41" s="130"/>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row>
    <row r="42" spans="1:29" x14ac:dyDescent="0.25">
      <c r="A42" s="142"/>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c r="AA42" s="142"/>
      <c r="AB42" s="142"/>
      <c r="AC42" s="142"/>
    </row>
    <row r="43" spans="1:29" x14ac:dyDescent="0.25">
      <c r="A43" s="142"/>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c r="AA43" s="142"/>
      <c r="AB43" s="142"/>
      <c r="AC43" s="142"/>
    </row>
    <row r="44" spans="1:29" x14ac:dyDescent="0.25">
      <c r="A44" s="142"/>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c r="AA44" s="142"/>
      <c r="AB44" s="142"/>
      <c r="AC44" s="142"/>
    </row>
    <row r="45" spans="1:29" x14ac:dyDescent="0.25">
      <c r="A45" s="142"/>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c r="AA45" s="142"/>
      <c r="AB45" s="142"/>
      <c r="AC45" s="142"/>
    </row>
    <row r="46" spans="1:29" x14ac:dyDescent="0.25">
      <c r="A46" s="142"/>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c r="AA46" s="142"/>
      <c r="AB46" s="142"/>
      <c r="AC46" s="142"/>
    </row>
    <row r="47" spans="1:29" x14ac:dyDescent="0.25">
      <c r="A47" s="142"/>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c r="AA47" s="142"/>
      <c r="AB47" s="142"/>
      <c r="AC47" s="142"/>
    </row>
    <row r="48" spans="1:29" x14ac:dyDescent="0.25">
      <c r="A48" s="142"/>
      <c r="B48" s="142"/>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c r="AA48" s="142"/>
      <c r="AB48" s="142"/>
      <c r="AC48" s="142"/>
    </row>
    <row r="49" spans="1:29" x14ac:dyDescent="0.25">
      <c r="A49" s="142"/>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c r="AA49" s="142"/>
      <c r="AB49" s="142"/>
      <c r="AC49" s="142"/>
    </row>
    <row r="50" spans="1:29" x14ac:dyDescent="0.25">
      <c r="A50" s="142"/>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c r="AA50" s="142"/>
      <c r="AB50" s="142"/>
      <c r="AC50" s="142"/>
    </row>
    <row r="51" spans="1:29" x14ac:dyDescent="0.25">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c r="AA51" s="142"/>
      <c r="AB51" s="142"/>
      <c r="AC51" s="142"/>
    </row>
    <row r="52" spans="1:29" x14ac:dyDescent="0.25">
      <c r="A52" s="142"/>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c r="AA52" s="142"/>
      <c r="AB52" s="142"/>
      <c r="AC52" s="142"/>
    </row>
    <row r="53" spans="1:29" x14ac:dyDescent="0.25">
      <c r="A53" s="142"/>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c r="AA53" s="142"/>
      <c r="AB53" s="142"/>
      <c r="AC53" s="142"/>
    </row>
    <row r="54" spans="1:29" x14ac:dyDescent="0.25">
      <c r="A54" s="142"/>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c r="AA54" s="142"/>
      <c r="AB54" s="142"/>
      <c r="AC54" s="142"/>
    </row>
    <row r="55" spans="1:29" x14ac:dyDescent="0.25">
      <c r="A55" s="142"/>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c r="AA55" s="142"/>
      <c r="AB55" s="142"/>
      <c r="AC55" s="142"/>
    </row>
    <row r="56" spans="1:29" x14ac:dyDescent="0.25">
      <c r="A56" s="142"/>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c r="AA56" s="142"/>
      <c r="AB56" s="142"/>
      <c r="AC56" s="142"/>
    </row>
    <row r="57" spans="1:29" x14ac:dyDescent="0.25">
      <c r="A57" s="142"/>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c r="AA57" s="142"/>
      <c r="AB57" s="142"/>
      <c r="AC57" s="142"/>
    </row>
    <row r="58" spans="1:29" x14ac:dyDescent="0.25">
      <c r="A58" s="142"/>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c r="AA58" s="142"/>
      <c r="AB58" s="142"/>
      <c r="AC58" s="142"/>
    </row>
    <row r="59" spans="1:29" x14ac:dyDescent="0.25">
      <c r="A59" s="142"/>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c r="AA59" s="142"/>
      <c r="AB59" s="142"/>
      <c r="AC59" s="142"/>
    </row>
    <row r="60" spans="1:29" x14ac:dyDescent="0.25">
      <c r="A60" s="142"/>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c r="AA60" s="142"/>
      <c r="AB60" s="142"/>
      <c r="AC60" s="142"/>
    </row>
    <row r="61" spans="1:29" x14ac:dyDescent="0.25">
      <c r="A61" s="142"/>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c r="AA61" s="142"/>
      <c r="AB61" s="142"/>
      <c r="AC61" s="142"/>
    </row>
    <row r="62" spans="1:29" x14ac:dyDescent="0.25">
      <c r="A62" s="142"/>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c r="AA62" s="142"/>
      <c r="AB62" s="142"/>
      <c r="AC62" s="142"/>
    </row>
    <row r="63" spans="1:29" x14ac:dyDescent="0.25">
      <c r="A63" s="142"/>
      <c r="B63" s="142"/>
      <c r="C63" s="142"/>
      <c r="D63" s="142"/>
      <c r="E63" s="142"/>
      <c r="F63" s="142"/>
      <c r="G63" s="142"/>
      <c r="H63" s="142"/>
      <c r="I63" s="142"/>
      <c r="J63" s="142"/>
      <c r="K63" s="142"/>
      <c r="L63" s="142"/>
      <c r="M63" s="142"/>
      <c r="N63" s="142"/>
      <c r="O63" s="142"/>
      <c r="P63" s="142"/>
      <c r="Q63" s="142"/>
      <c r="R63" s="142"/>
      <c r="S63" s="142"/>
      <c r="T63" s="142"/>
      <c r="U63" s="142"/>
      <c r="V63" s="142"/>
      <c r="W63" s="142"/>
      <c r="X63" s="142"/>
      <c r="Y63" s="142"/>
      <c r="Z63" s="142"/>
      <c r="AA63" s="142"/>
      <c r="AB63" s="142"/>
      <c r="AC63" s="142"/>
    </row>
  </sheetData>
  <mergeCells count="1">
    <mergeCell ref="A1:AC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7"/>
  <sheetViews>
    <sheetView showGridLines="0" zoomScaleNormal="100" workbookViewId="0">
      <selection sqref="A1:G1"/>
    </sheetView>
  </sheetViews>
  <sheetFormatPr defaultColWidth="8.7109375" defaultRowHeight="15" x14ac:dyDescent="0.25"/>
  <cols>
    <col min="1" max="1" width="28" customWidth="1"/>
    <col min="2" max="7" width="20" customWidth="1"/>
  </cols>
  <sheetData>
    <row r="1" spans="1:7" ht="27.75" customHeight="1" x14ac:dyDescent="0.25">
      <c r="A1" s="184" t="s">
        <v>261</v>
      </c>
      <c r="B1" s="184"/>
      <c r="C1" s="184"/>
      <c r="D1" s="184"/>
      <c r="E1" s="184"/>
      <c r="F1" s="184"/>
      <c r="G1" s="184"/>
    </row>
    <row r="2" spans="1:7" ht="19.5" customHeight="1" x14ac:dyDescent="0.25">
      <c r="A2" s="120" t="s">
        <v>262</v>
      </c>
      <c r="B2" s="120" t="s">
        <v>263</v>
      </c>
      <c r="C2" s="120" t="s">
        <v>264</v>
      </c>
    </row>
    <row r="3" spans="1:7" ht="43.5" customHeight="1" x14ac:dyDescent="0.25">
      <c r="A3" s="121" t="s">
        <v>265</v>
      </c>
      <c r="B3" s="176" t="s">
        <v>266</v>
      </c>
      <c r="C3" s="176"/>
      <c r="D3" s="176"/>
      <c r="E3" s="176"/>
      <c r="F3" s="176"/>
      <c r="G3" s="176"/>
    </row>
    <row r="4" spans="1:7" ht="43.5" customHeight="1" x14ac:dyDescent="0.25">
      <c r="A4" s="122" t="s">
        <v>267</v>
      </c>
      <c r="B4" s="176" t="s">
        <v>268</v>
      </c>
      <c r="C4" s="176"/>
      <c r="D4" s="176"/>
      <c r="E4" s="176"/>
      <c r="F4" s="176"/>
      <c r="G4" s="176"/>
    </row>
    <row r="5" spans="1:7" ht="43.5" customHeight="1" x14ac:dyDescent="0.25">
      <c r="A5" s="123" t="s">
        <v>269</v>
      </c>
      <c r="B5" s="176" t="s">
        <v>270</v>
      </c>
      <c r="C5" s="176"/>
      <c r="D5" s="176"/>
      <c r="E5" s="176"/>
      <c r="F5" s="176"/>
      <c r="G5" s="176"/>
    </row>
    <row r="6" spans="1:7" ht="43.5" customHeight="1" x14ac:dyDescent="0.25">
      <c r="A6" s="124" t="s">
        <v>271</v>
      </c>
      <c r="B6" s="176" t="s">
        <v>272</v>
      </c>
      <c r="C6" s="176"/>
      <c r="D6" s="176"/>
      <c r="E6" s="176"/>
      <c r="F6" s="176"/>
      <c r="G6" s="176"/>
    </row>
    <row r="7" spans="1:7" ht="43.5" customHeight="1" x14ac:dyDescent="0.25">
      <c r="A7" s="125" t="s">
        <v>273</v>
      </c>
      <c r="B7" s="176" t="s">
        <v>274</v>
      </c>
      <c r="C7" s="176"/>
      <c r="D7" s="176"/>
      <c r="E7" s="176"/>
      <c r="F7" s="176"/>
      <c r="G7" s="176"/>
    </row>
    <row r="8" spans="1:7" ht="43.5" customHeight="1" x14ac:dyDescent="0.25">
      <c r="A8" s="122" t="s">
        <v>275</v>
      </c>
      <c r="B8" s="176" t="s">
        <v>276</v>
      </c>
      <c r="C8" s="176"/>
      <c r="D8" s="176"/>
      <c r="E8" s="176"/>
      <c r="F8" s="176"/>
      <c r="G8" s="176"/>
    </row>
    <row r="9" spans="1:7" ht="43.5" customHeight="1" x14ac:dyDescent="0.25">
      <c r="A9" s="126" t="s">
        <v>277</v>
      </c>
      <c r="B9" s="176" t="s">
        <v>278</v>
      </c>
      <c r="C9" s="176"/>
      <c r="D9" s="176"/>
      <c r="E9" s="176"/>
      <c r="F9" s="176"/>
      <c r="G9" s="176"/>
    </row>
    <row r="10" spans="1:7" ht="43.5" customHeight="1" x14ac:dyDescent="0.25">
      <c r="A10" s="121" t="s">
        <v>279</v>
      </c>
      <c r="B10" s="176" t="s">
        <v>280</v>
      </c>
      <c r="C10" s="176"/>
      <c r="D10" s="176"/>
      <c r="E10" s="176"/>
      <c r="F10" s="176"/>
      <c r="G10" s="176"/>
    </row>
    <row r="12" spans="1:7" ht="24" customHeight="1" x14ac:dyDescent="0.25">
      <c r="A12" s="180" t="s">
        <v>281</v>
      </c>
      <c r="B12" s="180"/>
      <c r="C12" s="180"/>
      <c r="D12" s="180"/>
      <c r="E12" s="180"/>
      <c r="F12" s="180"/>
      <c r="G12" s="180"/>
    </row>
    <row r="13" spans="1:7" ht="36" customHeight="1" x14ac:dyDescent="0.25">
      <c r="A13" s="183" t="s">
        <v>282</v>
      </c>
      <c r="B13" s="183"/>
      <c r="C13" s="176" t="s">
        <v>283</v>
      </c>
      <c r="D13" s="176"/>
      <c r="E13" s="176"/>
      <c r="F13" s="176"/>
      <c r="G13" s="176"/>
    </row>
    <row r="14" spans="1:7" ht="36" customHeight="1" x14ac:dyDescent="0.25">
      <c r="A14" s="183" t="s">
        <v>284</v>
      </c>
      <c r="B14" s="183"/>
      <c r="C14" s="176" t="s">
        <v>285</v>
      </c>
      <c r="D14" s="176"/>
      <c r="E14" s="176"/>
      <c r="F14" s="176"/>
      <c r="G14" s="176"/>
    </row>
    <row r="15" spans="1:7" ht="36" customHeight="1" x14ac:dyDescent="0.25">
      <c r="A15" s="183" t="s">
        <v>286</v>
      </c>
      <c r="B15" s="183"/>
      <c r="C15" s="176" t="s">
        <v>287</v>
      </c>
      <c r="D15" s="176"/>
      <c r="E15" s="176"/>
      <c r="F15" s="176"/>
      <c r="G15" s="176"/>
    </row>
    <row r="16" spans="1:7" ht="36" customHeight="1" x14ac:dyDescent="0.25">
      <c r="A16" s="183" t="s">
        <v>288</v>
      </c>
      <c r="B16" s="183"/>
      <c r="C16" s="176" t="s">
        <v>289</v>
      </c>
      <c r="D16" s="176"/>
      <c r="E16" s="176"/>
      <c r="F16" s="176"/>
      <c r="G16" s="176"/>
    </row>
    <row r="17" spans="1:7" ht="36" customHeight="1" x14ac:dyDescent="0.25">
      <c r="A17" s="183" t="s">
        <v>290</v>
      </c>
      <c r="B17" s="183"/>
      <c r="C17" s="176" t="s">
        <v>291</v>
      </c>
      <c r="D17" s="176"/>
      <c r="E17" s="176"/>
      <c r="F17" s="176"/>
      <c r="G17" s="176"/>
    </row>
  </sheetData>
  <mergeCells count="20">
    <mergeCell ref="A1:G1"/>
    <mergeCell ref="B3:G3"/>
    <mergeCell ref="B4:G4"/>
    <mergeCell ref="B5:G5"/>
    <mergeCell ref="B6:G6"/>
    <mergeCell ref="B7:G7"/>
    <mergeCell ref="B8:G8"/>
    <mergeCell ref="B9:G9"/>
    <mergeCell ref="B10:G10"/>
    <mergeCell ref="A12:G12"/>
    <mergeCell ref="A16:B16"/>
    <mergeCell ref="C16:G16"/>
    <mergeCell ref="A17:B17"/>
    <mergeCell ref="C17:G17"/>
    <mergeCell ref="A13:B13"/>
    <mergeCell ref="C13:G13"/>
    <mergeCell ref="A14:B14"/>
    <mergeCell ref="C14:G14"/>
    <mergeCell ref="A15:B15"/>
    <mergeCell ref="C15:G1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Dashboard</vt:lpstr>
      <vt:lpstr>Air Quality</vt:lpstr>
      <vt:lpstr>WQI G</vt:lpstr>
      <vt:lpstr>Water Quality</vt:lpstr>
      <vt:lpstr>Noise Pollution</vt:lpstr>
      <vt:lpstr>Waste Management</vt:lpstr>
      <vt:lpstr>Sheet11</vt:lpstr>
      <vt:lpstr>Disaster Risk</vt:lpstr>
      <vt:lpstr>🏆 Best City Ranking</vt:lpstr>
      <vt:lpstr>City Comparison</vt:lpstr>
      <vt:lpstr>Sheet3</vt:lpstr>
      <vt:lpstr>Sheet1</vt:lpstr>
      <vt:lpstr>Sheet4</vt:lpstr>
      <vt:lpstr>Sheet5</vt:lpstr>
      <vt:lpstr>Sheet6</vt:lpstr>
      <vt:lpstr>Sheet7</vt:lpstr>
      <vt:lpstr>Sheet12</vt:lpstr>
      <vt:lpstr>Sheet2</vt:lpstr>
      <vt:lpstr>FDashboard</vt:lpstr>
      <vt:lpstr>Key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LENOVO</cp:lastModifiedBy>
  <cp:revision>1</cp:revision>
  <dcterms:created xsi:type="dcterms:W3CDTF">2026-04-06T09:17:08Z</dcterms:created>
  <dcterms:modified xsi:type="dcterms:W3CDTF">2026-04-25T12:29:15Z</dcterms:modified>
  <dc:language>en-US</dc:language>
</cp:coreProperties>
</file>